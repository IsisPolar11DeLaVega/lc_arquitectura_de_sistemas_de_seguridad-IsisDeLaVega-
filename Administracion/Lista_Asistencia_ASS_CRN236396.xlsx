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5ddf5fb2bc65e958/Documentos/GitHub/lc_arquitectura_de_sistemas_de_seguridad/Administracion/"/>
    </mc:Choice>
  </mc:AlternateContent>
  <xr:revisionPtr revIDLastSave="129" documentId="14_{545CCF96-C524-4C47-965E-B405D4770607}" xr6:coauthVersionLast="47" xr6:coauthVersionMax="47" xr10:uidLastSave="{56960807-9F25-4073-AF78-1FEDF67E0AE4}"/>
  <bookViews>
    <workbookView xWindow="-120" yWindow="-120" windowWidth="29040" windowHeight="15720" tabRatio="500" xr2:uid="{00000000-000D-0000-FFFF-FFFF00000000}"/>
  </bookViews>
  <sheets>
    <sheet name="Asistencia" sheetId="1" r:id="rId1"/>
    <sheet name="Resumen" sheetId="2" r:id="rId2"/>
    <sheet name="Examen 1" sheetId="3" r:id="rId3"/>
  </sheets>
  <definedNames>
    <definedName name="_xlnm._FilterDatabase" localSheetId="2" hidden="1">'Examen 1'!$A$1:$Z$28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11" i="1" l="1"/>
  <c r="E28" i="3"/>
  <c r="E3" i="3"/>
  <c r="F24" i="1" s="1"/>
  <c r="E4" i="3"/>
  <c r="F26" i="1" s="1"/>
  <c r="E5" i="3"/>
  <c r="F13" i="1" s="1"/>
  <c r="E6" i="3"/>
  <c r="F23" i="1" s="1"/>
  <c r="E7" i="3"/>
  <c r="F12" i="1" s="1"/>
  <c r="E8" i="3"/>
  <c r="F9" i="1" s="1"/>
  <c r="E9" i="3"/>
  <c r="F15" i="1" s="1"/>
  <c r="E10" i="3"/>
  <c r="F30" i="1" s="1"/>
  <c r="E11" i="3"/>
  <c r="F19" i="1" s="1"/>
  <c r="E12" i="3"/>
  <c r="F29" i="1" s="1"/>
  <c r="E13" i="3"/>
  <c r="F32" i="1" s="1"/>
  <c r="E14" i="3"/>
  <c r="F16" i="1" s="1"/>
  <c r="E15" i="3"/>
  <c r="F25" i="1" s="1"/>
  <c r="E16" i="3"/>
  <c r="F10" i="1" s="1"/>
  <c r="E17" i="3"/>
  <c r="F27" i="1" s="1"/>
  <c r="E18" i="3"/>
  <c r="F6" i="1" s="1"/>
  <c r="E19" i="3"/>
  <c r="F22" i="1" s="1"/>
  <c r="E20" i="3"/>
  <c r="F17" i="1" s="1"/>
  <c r="E21" i="3"/>
  <c r="F31" i="1" s="1"/>
  <c r="E22" i="3"/>
  <c r="F8" i="1" s="1"/>
  <c r="E23" i="3"/>
  <c r="F14" i="1" s="1"/>
  <c r="E24" i="3"/>
  <c r="F7" i="1" s="1"/>
  <c r="E25" i="3"/>
  <c r="F21" i="1" s="1"/>
  <c r="E26" i="3"/>
  <c r="F20" i="1" s="1"/>
  <c r="E27" i="3"/>
  <c r="F28" i="1" s="1"/>
  <c r="E2" i="3"/>
  <c r="F18" i="1" s="1"/>
  <c r="AL33" i="1"/>
  <c r="AK33" i="1"/>
  <c r="AJ33" i="1"/>
  <c r="AI33" i="1"/>
  <c r="AH33" i="1"/>
  <c r="AG33" i="1"/>
  <c r="AF33" i="1"/>
  <c r="AE33" i="1"/>
  <c r="AD33" i="1"/>
  <c r="AC33" i="1"/>
  <c r="AB33" i="1"/>
  <c r="AA33" i="1"/>
  <c r="Z33" i="1"/>
  <c r="Y33" i="1"/>
  <c r="X33" i="1"/>
  <c r="W33" i="1"/>
  <c r="V33" i="1"/>
  <c r="U33" i="1"/>
  <c r="T33" i="1"/>
  <c r="S33" i="1"/>
  <c r="R33" i="1"/>
  <c r="Q33" i="1"/>
  <c r="P33" i="1"/>
  <c r="O33" i="1"/>
  <c r="N33" i="1"/>
  <c r="M33" i="1"/>
  <c r="L33" i="1"/>
  <c r="K33" i="1"/>
  <c r="J33" i="1"/>
  <c r="I33" i="1"/>
  <c r="H33" i="1"/>
  <c r="G33" i="1"/>
  <c r="AN32" i="1"/>
  <c r="F29" i="2" s="1"/>
  <c r="AM32" i="1"/>
  <c r="E29" i="2" s="1"/>
  <c r="AN31" i="1"/>
  <c r="F28" i="2" s="1"/>
  <c r="AM31" i="1"/>
  <c r="E28" i="2" s="1"/>
  <c r="AN30" i="1"/>
  <c r="F27" i="2" s="1"/>
  <c r="AM30" i="1"/>
  <c r="AO30" i="1" s="1"/>
  <c r="AN29" i="1"/>
  <c r="F26" i="2" s="1"/>
  <c r="AM29" i="1"/>
  <c r="AO29" i="1" s="1"/>
  <c r="AN28" i="1"/>
  <c r="F25" i="2" s="1"/>
  <c r="AM28" i="1"/>
  <c r="E25" i="2" s="1"/>
  <c r="AN27" i="1"/>
  <c r="F24" i="2" s="1"/>
  <c r="AM27" i="1"/>
  <c r="E24" i="2" s="1"/>
  <c r="AN26" i="1"/>
  <c r="F23" i="2" s="1"/>
  <c r="AM26" i="1"/>
  <c r="E23" i="2" s="1"/>
  <c r="AN25" i="1"/>
  <c r="F22" i="2" s="1"/>
  <c r="AM25" i="1"/>
  <c r="AO25" i="1" s="1"/>
  <c r="AN24" i="1"/>
  <c r="F21" i="2" s="1"/>
  <c r="AM24" i="1"/>
  <c r="E21" i="2" s="1"/>
  <c r="AN23" i="1"/>
  <c r="F20" i="2" s="1"/>
  <c r="AM23" i="1"/>
  <c r="E20" i="2" s="1"/>
  <c r="AN22" i="1"/>
  <c r="F19" i="2" s="1"/>
  <c r="AM22" i="1"/>
  <c r="AO22" i="1" s="1"/>
  <c r="AN21" i="1"/>
  <c r="F18" i="2" s="1"/>
  <c r="AM21" i="1"/>
  <c r="E18" i="2" s="1"/>
  <c r="AN20" i="1"/>
  <c r="F17" i="2" s="1"/>
  <c r="AM20" i="1"/>
  <c r="E17" i="2" s="1"/>
  <c r="AN19" i="1"/>
  <c r="F16" i="2" s="1"/>
  <c r="AM19" i="1"/>
  <c r="E16" i="2" s="1"/>
  <c r="AN18" i="1"/>
  <c r="F15" i="2" s="1"/>
  <c r="AM18" i="1"/>
  <c r="AO18" i="1" s="1"/>
  <c r="AN17" i="1"/>
  <c r="F14" i="2" s="1"/>
  <c r="AM17" i="1"/>
  <c r="AO17" i="1" s="1"/>
  <c r="AN16" i="1"/>
  <c r="F13" i="2" s="1"/>
  <c r="AM16" i="1"/>
  <c r="E13" i="2" s="1"/>
  <c r="AN15" i="1"/>
  <c r="F12" i="2" s="1"/>
  <c r="AM15" i="1"/>
  <c r="E12" i="2" s="1"/>
  <c r="AN14" i="1"/>
  <c r="F11" i="2" s="1"/>
  <c r="AM14" i="1"/>
  <c r="E11" i="2" s="1"/>
  <c r="AN13" i="1"/>
  <c r="F10" i="2" s="1"/>
  <c r="AM13" i="1"/>
  <c r="AO13" i="1" s="1"/>
  <c r="AN12" i="1"/>
  <c r="F9" i="2" s="1"/>
  <c r="AM12" i="1"/>
  <c r="E9" i="2" s="1"/>
  <c r="AN11" i="1"/>
  <c r="F8" i="2" s="1"/>
  <c r="AM11" i="1"/>
  <c r="E8" i="2" s="1"/>
  <c r="AN10" i="1"/>
  <c r="F7" i="2" s="1"/>
  <c r="AM10" i="1"/>
  <c r="E7" i="2" s="1"/>
  <c r="AN9" i="1"/>
  <c r="F6" i="2" s="1"/>
  <c r="AM9" i="1"/>
  <c r="AO9" i="1" s="1"/>
  <c r="AN8" i="1"/>
  <c r="F5" i="2" s="1"/>
  <c r="AM8" i="1"/>
  <c r="E5" i="2" s="1"/>
  <c r="AN7" i="1"/>
  <c r="F4" i="2" s="1"/>
  <c r="AM7" i="1"/>
  <c r="E4" i="2" s="1"/>
  <c r="AN6" i="1"/>
  <c r="F3" i="2" s="1"/>
  <c r="AM6" i="1"/>
  <c r="AO6" i="1" s="1"/>
  <c r="H3" i="2" s="1"/>
  <c r="AO19" i="1" l="1"/>
  <c r="H16" i="2" s="1"/>
  <c r="AO7" i="1"/>
  <c r="H4" i="2" s="1"/>
  <c r="AO21" i="1"/>
  <c r="H18" i="2" s="1"/>
  <c r="AO26" i="1"/>
  <c r="H23" i="2" s="1"/>
  <c r="AO14" i="1"/>
  <c r="H11" i="2" s="1"/>
  <c r="AO28" i="1"/>
  <c r="H25" i="2" s="1"/>
  <c r="AO23" i="1"/>
  <c r="H20" i="2" s="1"/>
  <c r="AO12" i="1"/>
  <c r="H9" i="2" s="1"/>
  <c r="AO10" i="1"/>
  <c r="H7" i="2" s="1"/>
  <c r="H10" i="2"/>
  <c r="G10" i="2"/>
  <c r="H6" i="2"/>
  <c r="G6" i="2"/>
  <c r="H27" i="2"/>
  <c r="G27" i="2"/>
  <c r="G3" i="2"/>
  <c r="H14" i="2"/>
  <c r="G14" i="2"/>
  <c r="H15" i="2"/>
  <c r="G15" i="2"/>
  <c r="H26" i="2"/>
  <c r="G26" i="2"/>
  <c r="H22" i="2"/>
  <c r="G22" i="2"/>
  <c r="H19" i="2"/>
  <c r="G19" i="2"/>
  <c r="AO20" i="1"/>
  <c r="AO15" i="1"/>
  <c r="AO31" i="1"/>
  <c r="E6" i="2"/>
  <c r="E10" i="2"/>
  <c r="E14" i="2"/>
  <c r="E22" i="2"/>
  <c r="E26" i="2"/>
  <c r="AO16" i="1"/>
  <c r="AO32" i="1"/>
  <c r="AO27" i="1"/>
  <c r="E3" i="2"/>
  <c r="E15" i="2"/>
  <c r="E19" i="2"/>
  <c r="E27" i="2"/>
  <c r="AO11" i="1"/>
  <c r="G4" i="2"/>
  <c r="G16" i="2"/>
  <c r="AO8" i="1"/>
  <c r="AO24" i="1"/>
  <c r="G18" i="2" l="1"/>
  <c r="G11" i="2"/>
  <c r="G7" i="2"/>
  <c r="G23" i="2"/>
  <c r="G25" i="2"/>
  <c r="G20" i="2"/>
  <c r="G9" i="2"/>
  <c r="H24" i="2"/>
  <c r="G24" i="2"/>
  <c r="H29" i="2"/>
  <c r="G29" i="2"/>
  <c r="H21" i="2"/>
  <c r="G21" i="2"/>
  <c r="H12" i="2"/>
  <c r="G12" i="2"/>
  <c r="H13" i="2"/>
  <c r="G13" i="2"/>
  <c r="H17" i="2"/>
  <c r="G17" i="2"/>
  <c r="H28" i="2"/>
  <c r="G28" i="2"/>
  <c r="H5" i="2"/>
  <c r="G5" i="2"/>
  <c r="H8" i="2"/>
  <c r="G8" i="2"/>
</calcChain>
</file>

<file path=xl/sharedStrings.xml><?xml version="1.0" encoding="utf-8"?>
<sst xmlns="http://schemas.openxmlformats.org/spreadsheetml/2006/main" count="1617" uniqueCount="307">
  <si>
    <t>LISTA DE ASISTENCIA — ARQUITECTURA DE SISTEMAS DE SEGURIDAD  |  Ciclo 2026-A  |  CRN 236396  |  Sección 401  |  Aula 101 Edif. 4L</t>
  </si>
  <si>
    <t>CUGDL · UDG  |  Licenciatura en Ciberseguridad  |  19 Enero – 29 Mayo 2026  |  Horario: L 07:00-08:55  Mi 09:00-10:55  |  Prof. Titular: Luis Alberto Maciel Arellano  |  Prof. Suplente: Carlos Pulido Rosas  |  Total sesiones válidas: 32</t>
  </si>
  <si>
    <t>#</t>
  </si>
  <si>
    <t>APELLIDO(S)</t>
  </si>
  <si>
    <t>NOMBRE(S)</t>
  </si>
  <si>
    <t>CÓDIGO</t>
  </si>
  <si>
    <t>SEM 1</t>
  </si>
  <si>
    <t>SEM 2</t>
  </si>
  <si>
    <t>SEM 3</t>
  </si>
  <si>
    <t>SEM 4</t>
  </si>
  <si>
    <t>SEM 5</t>
  </si>
  <si>
    <t>SEM 6</t>
  </si>
  <si>
    <t>SEM 7</t>
  </si>
  <si>
    <t>SEM 8</t>
  </si>
  <si>
    <t>SEM 9</t>
  </si>
  <si>
    <t>SEM 10</t>
  </si>
  <si>
    <t>SEM 11</t>
  </si>
  <si>
    <t>SEM 12</t>
  </si>
  <si>
    <t>SEM 13</t>
  </si>
  <si>
    <t>SEM 14</t>
  </si>
  <si>
    <t>SEM 15</t>
  </si>
  <si>
    <t>SEM 16</t>
  </si>
  <si>
    <t>ASIST.</t>
  </si>
  <si>
    <t>FALTAS</t>
  </si>
  <si>
    <t>% ASIST.</t>
  </si>
  <si>
    <t>L</t>
  </si>
  <si>
    <t>Mi</t>
  </si>
  <si>
    <t>19/01</t>
  </si>
  <si>
    <t>21/01</t>
  </si>
  <si>
    <t>26/01</t>
  </si>
  <si>
    <t>28/01</t>
  </si>
  <si>
    <t>02/02</t>
  </si>
  <si>
    <t>04/02</t>
  </si>
  <si>
    <t>09/02</t>
  </si>
  <si>
    <t>11/02</t>
  </si>
  <si>
    <t>16/02</t>
  </si>
  <si>
    <t>18/02</t>
  </si>
  <si>
    <t>23/02</t>
  </si>
  <si>
    <t>25/02</t>
  </si>
  <si>
    <t>02/03</t>
  </si>
  <si>
    <t>04/03</t>
  </si>
  <si>
    <t>09/03</t>
  </si>
  <si>
    <t>11/03</t>
  </si>
  <si>
    <t>16/03</t>
  </si>
  <si>
    <t>18/03</t>
  </si>
  <si>
    <t>23/03</t>
  </si>
  <si>
    <t>25/03</t>
  </si>
  <si>
    <t>13/04</t>
  </si>
  <si>
    <t>15/04</t>
  </si>
  <si>
    <t>20/04</t>
  </si>
  <si>
    <t>22/04</t>
  </si>
  <si>
    <t>27/04</t>
  </si>
  <si>
    <t>29/04</t>
  </si>
  <si>
    <t>04/05</t>
  </si>
  <si>
    <t>06/05</t>
  </si>
  <si>
    <t>11/05</t>
  </si>
  <si>
    <t>13/05</t>
  </si>
  <si>
    <t>18/05</t>
  </si>
  <si>
    <t>20/05</t>
  </si>
  <si>
    <t>ACOSTA SANDOVAL</t>
  </si>
  <si>
    <t>ROGELIO ESAU</t>
  </si>
  <si>
    <t>220840099</t>
  </si>
  <si>
    <t>ARIAS CASTELLON</t>
  </si>
  <si>
    <t>GABRIELA ESPERA</t>
  </si>
  <si>
    <t>088404858</t>
  </si>
  <si>
    <t>AVALOS RODRIGUEZ</t>
  </si>
  <si>
    <t>KAROL GUADALUPE</t>
  </si>
  <si>
    <t>224164552</t>
  </si>
  <si>
    <t>CARCAÑO AGUAYO</t>
  </si>
  <si>
    <t>ANDREA LISSETH</t>
  </si>
  <si>
    <t>221449008</t>
  </si>
  <si>
    <t>DE LA VEGA SANCHEZ</t>
  </si>
  <si>
    <t>ISIS KAROL</t>
  </si>
  <si>
    <t>221450537</t>
  </si>
  <si>
    <t>DE LUNA MOZQUEDA</t>
  </si>
  <si>
    <t>EMMANUEL</t>
  </si>
  <si>
    <t>209015442</t>
  </si>
  <si>
    <t>FRANCO ARELLANO</t>
  </si>
  <si>
    <t>DAPHNE WENDOLYN</t>
  </si>
  <si>
    <t>219051455</t>
  </si>
  <si>
    <t>FREGOSO SANCHEZ</t>
  </si>
  <si>
    <t>PAOLA</t>
  </si>
  <si>
    <t>216592013</t>
  </si>
  <si>
    <t>GARAY GUZMAN</t>
  </si>
  <si>
    <t>CRISTIAN RENE</t>
  </si>
  <si>
    <t>220105445</t>
  </si>
  <si>
    <t>GERALDO RUBIO</t>
  </si>
  <si>
    <t>JUAN ANTONIO</t>
  </si>
  <si>
    <t>224164554</t>
  </si>
  <si>
    <t>GOMEZ CASTORENA</t>
  </si>
  <si>
    <t>ERICK JOSUE</t>
  </si>
  <si>
    <t>212477198</t>
  </si>
  <si>
    <t>GONZALEZ CALVILLO</t>
  </si>
  <si>
    <t>TANIA MARIA</t>
  </si>
  <si>
    <t>221597082</t>
  </si>
  <si>
    <t>GONZALEZ CUELLAR</t>
  </si>
  <si>
    <t>EDGAR OSWALDO</t>
  </si>
  <si>
    <t>221217808</t>
  </si>
  <si>
    <t>GONZALEZ MEDRANO</t>
  </si>
  <si>
    <t>LILIANA ARALI</t>
  </si>
  <si>
    <t>218510383</t>
  </si>
  <si>
    <t>HERNANDEZ VENEGAS</t>
  </si>
  <si>
    <t>TABATA CRISTINA</t>
  </si>
  <si>
    <t>219873528</t>
  </si>
  <si>
    <t>HERNANDEZ VILLANUEVA</t>
  </si>
  <si>
    <t>VICTOR DANIEL</t>
  </si>
  <si>
    <t>224164539</t>
  </si>
  <si>
    <t>IBARRA GRACIA</t>
  </si>
  <si>
    <t>DIEGO DAVID</t>
  </si>
  <si>
    <t>218506645</t>
  </si>
  <si>
    <t>LAZOS CRUZ</t>
  </si>
  <si>
    <t>ALLISON</t>
  </si>
  <si>
    <t>221488607</t>
  </si>
  <si>
    <t>MARTINEZ DURAN</t>
  </si>
  <si>
    <t>MAHONRI MORIANC</t>
  </si>
  <si>
    <t>220468319</t>
  </si>
  <si>
    <t>MARTINEZ GUTIERREZ</t>
  </si>
  <si>
    <t>DIEGO EUGENIO</t>
  </si>
  <si>
    <t>224164553</t>
  </si>
  <si>
    <t>MUÑOZ RIVAS</t>
  </si>
  <si>
    <t>JOSHUA</t>
  </si>
  <si>
    <t>224164546</t>
  </si>
  <si>
    <t>PEREZ GOMEZ</t>
  </si>
  <si>
    <t>MARIA ANDREA</t>
  </si>
  <si>
    <t>216797103</t>
  </si>
  <si>
    <t>PIMENTEL MELGOZA</t>
  </si>
  <si>
    <t>ISRAEL RICARDO</t>
  </si>
  <si>
    <t>224164542</t>
  </si>
  <si>
    <t>PONCE RAMIREZ</t>
  </si>
  <si>
    <t>JORGE ALBERTO</t>
  </si>
  <si>
    <t>210610982</t>
  </si>
  <si>
    <t>REYES OLMEDO</t>
  </si>
  <si>
    <t>CHRISTIAN ALEJA</t>
  </si>
  <si>
    <t>302356759</t>
  </si>
  <si>
    <t>ROJAS BOBADILLA</t>
  </si>
  <si>
    <t>ALVARO ARTURO</t>
  </si>
  <si>
    <t>224164555</t>
  </si>
  <si>
    <t>ZARAGOZA BRAMBILA</t>
  </si>
  <si>
    <t>FABIAN ISAI</t>
  </si>
  <si>
    <t>220417773</t>
  </si>
  <si>
    <t>ASISTENCIAS POR SESIÓN</t>
  </si>
  <si>
    <t xml:space="preserve">  ✅ "A" = Asistencia    ❌ "F" = Falta    📝 "J" = Justificada (no cuenta en fórmula)    ⬛ "—" = Sesión de vacaciones (bloqueada)    Semana Santa: 30 Mar – 12 Abr 2026</t>
  </si>
  <si>
    <t>RESUMEN DE ASISTENCIA — ARQ. SISTEMAS DE SEGURIDAD  |  Ciclo 2026-A  |  CRN 236396</t>
  </si>
  <si>
    <t>ASISTENCIAS</t>
  </si>
  <si>
    <t>STATUS</t>
  </si>
  <si>
    <t>A</t>
  </si>
  <si>
    <t>-</t>
  </si>
  <si>
    <t>Examen 2</t>
  </si>
  <si>
    <t>Marca temporal</t>
  </si>
  <si>
    <t>Dirección de correo electrónico</t>
  </si>
  <si>
    <t>Puntuación</t>
  </si>
  <si>
    <t>1. Una empresa descubre que un atacante accedió a su base de datos de clientes y copió 2 millones de registros sin modificar nada. ¿Qué pilar del CIA Triad fue violado?</t>
  </si>
  <si>
    <t>2. Un hospital configura su sistema de expedientes para que los médicos solo puedan ver los expedientes de sus propios pacientes, y el personal administrativo solo vea datos de facturación. ¿Qué principio de diseño está aplicando?</t>
  </si>
  <si>
    <t>3. ¿Cuál de las siguientes afirmaciones describe correctamente la diferencia entre el modelo perimetral y Zero Trust?</t>
  </si>
  <si>
    <t>4. ¿Cuál de los siguientes marcos de seguridad es el único certificable por una auditoría externa?</t>
  </si>
  <si>
    <t>5. Un ransomware cifra todos los archivos de una empresa y pide rescate para devolver el acceso. ¿Qué pilar o pilares del CIA Triad fueron afectados?</t>
  </si>
  <si>
    <t>6. En el ataque a Uber (2022), el atacante convenció a un empleado de aprobar una solicitud de MFA falsa. Una vez dentro, encontró credenciales de administrador en un script de PowerShell en una carpeta compartida. ¿Qué principio de diseño fue violado al guardar esas credenciales en un lugar accesible para cualquier empleado?</t>
  </si>
  <si>
    <t>7. CIS Controls organiza sus 18 controles en tres grupos de implementación. ¿Qué describe correctamente el Grupo IG1?</t>
  </si>
  <si>
    <t>8. ¿En qué fase del ciclo de vida de la arquitectura de seguridad se realizan auditorías y pruebas de penetración?</t>
  </si>
  <si>
    <t>9. NIST CSF 2.0 agregó una nueva función que no existía en la versión 1.1. ¿Cuál es y qué pregunta responde?</t>
  </si>
  <si>
    <t>10. En el ataque a SolarWinds (2020), los atacantes insertaron código malicioso en actualizaciones legítimas del software Orion. ¿Qué fase del ciclo de vida de la arquitectura de seguridad falló principalmente?</t>
  </si>
  <si>
    <t>11. Zero Trust es un producto de seguridad que se compra e instala como un firewall.</t>
  </si>
  <si>
    <t>12. El hashing SHA-256 protege principalmente la Integridad de los datos porque genera una huella digital que detecta modificaciones.</t>
  </si>
  <si>
    <t>13. NIST CSF es obligatorio para todas las empresas que operan en Estados Unidos.</t>
  </si>
  <si>
    <t>14. La defensa en profundidad y la redundancia son lo mismo: ambas duplican controles para mayor seguridad.</t>
  </si>
  <si>
    <t>15. Los cinco pilares de Zero Trust según NIST SP 800-207 son: Identidad, Dispositivo, Red, Aplicación y Datos.</t>
  </si>
  <si>
    <t>16. En el modelo perimetral, una vez que un atacante cruza el firewall tiene acceso libre a todo el interior de la red.</t>
  </si>
  <si>
    <t>17. ISO 27001 impone los mismos controles técnicos específicos a todas las organizaciones sin importar su contexto.</t>
  </si>
  <si>
    <t>18. La disponibilidad se viola únicamente cuando hay un ataque intencional como un DDoS, no por fallos de hardware.</t>
  </si>
  <si>
    <t>19. CIS Controls v8 tiene una prescripción alta porque te dice exactamente qué hacer, no solo qué lograr.</t>
  </si>
  <si>
    <t>20. El ciclo de vida de la arquitectura de seguridad es un proceso que se ejecuta una sola vez al diseñar el sistema.</t>
  </si>
  <si>
    <t>21. El siguiente escenario combina conceptos de las tres sesiones que tuvimos. 
Léelo con cuidado y responde lo que se pide. 
Una startup de tecnología financiera almacena datos de tarjetas de crédito de sus usuarios. Su equipo de desarrollo tiene acceso completo a la base de datos de producción para "agilizar las correcciones de bugs". No tienen ningún marco de seguridad implementado formalmente. Un día, un desarrollador con acceso a producción renuncia molesto y antes de irse descarga 50,000 registros de tarjetas. El incidente no se detecta hasta tres meses después cuando los usuarios reportan cargos no reconocidos. 
Responde las tres preguntas siguientes en no más de 8 líneas en total:
- ¿Qué pilar o pilares del CIA Triad fueron violados y cómo? 
- ¿Qué principio de diseño habría limitado el daño si hubiera estado implementado desde el inicio? 
- ¿Qué marco de seguridad le recomendarías a esta empresa como punto de partida y por qué ese específicamente?</t>
  </si>
  <si>
    <t>a) Defensa en profundidad</t>
  </si>
  <si>
    <t>a) El modelo perimetral verifica cada solicitud continuamente</t>
  </si>
  <si>
    <t>c) ISO 27001</t>
  </si>
  <si>
    <t>b) Integridad y Disponibilidad</t>
  </si>
  <si>
    <t>a) Controles para infraestructura crítica que incluyen pruebas de penetración</t>
  </si>
  <si>
    <t>c) RESPOND — ¿Qué hacemos cuando ocurre un incidente?</t>
  </si>
  <si>
    <t>Falso</t>
  </si>
  <si>
    <t>Verdadero</t>
  </si>
  <si>
    <t>edgar.gonzalez1780@alumnos.udg.mx</t>
  </si>
  <si>
    <t>94 / 110</t>
  </si>
  <si>
    <t>c) Solo Confidencialidad</t>
  </si>
  <si>
    <t>d) Zero Trust</t>
  </si>
  <si>
    <t>b) Zero Trust asume que nada es confiable por defecto</t>
  </si>
  <si>
    <t>b) Mínimo privilegio</t>
  </si>
  <si>
    <t>c) Higiene básica que toda organización debe implementar y que evita el 85% de los ataques comunes</t>
  </si>
  <si>
    <t>d) Fase 4 - Verificación y validación</t>
  </si>
  <si>
    <t>b) GOVERN — ¿Cómo se toman las decisiones de seguridad?</t>
  </si>
  <si>
    <t>Fase 3 — Implementación sin validación de integridad y Fase 4 — Monitoreo insuficiente</t>
  </si>
  <si>
    <t>Confidencialidad e integridad , detección y principio del menor privilegio , nist ya que es flexible</t>
  </si>
  <si>
    <t>mahonri.martinez6831@alumnos.udg.mx</t>
  </si>
  <si>
    <t>110 / 110</t>
  </si>
  <si>
    <t>c) Mínimo privilegio</t>
  </si>
  <si>
    <t>CIA: Se violo la Confidencialidad por el robo de datos y la Integridad 
Principio: Mínimo Privilegio para que no tuviera acceso si no era necesario
Marco: CIS Controls (IG1), o Zero trust ya que al ser datos bancarios son muy delicados , y tienen que estar muy bien organizados y limpios .</t>
  </si>
  <si>
    <t>joshua.munoz6454@alumnos.udg.mx</t>
  </si>
  <si>
    <t>100 / 110</t>
  </si>
  <si>
    <t>1 se violo la confidencialidad y la integridad de forma indirecta al perder el control sobre informacion sensible
2 el principio que habria limitado el daño es el pricipio de minimo privilegio 
3 se recomienda CIS controls v8 como un punto de partida bastante bueno ya que es practico, prescriptivo y ayuda con controles basicos</t>
  </si>
  <si>
    <t>paola.fregoso5920@alumnos.udg.mx</t>
  </si>
  <si>
    <t>88 / 110</t>
  </si>
  <si>
    <t>c) Solo Disponibilidad</t>
  </si>
  <si>
    <t>c) Segmentación</t>
  </si>
  <si>
    <t>1. La confidencialidad ya que los empleados al ya no formar parte de la empresa, toda información perteneciente a ella ya es confidencial.
2. Que los desarrolladores no tuvieran acceso a la información financiera
3. El NIST ya que brinda instrucciones concretas del diseño de Arquitectura</t>
  </si>
  <si>
    <t>allison.lazos8860@alumnos.udg.mx</t>
  </si>
  <si>
    <t>104 / 110</t>
  </si>
  <si>
    <t>1. La confidencialidad ya que se descargó sin autorizacion los registros, la integridad al estar el riesgo de manipulacion de datos.
2.Mínimo privilegio habría limitado el daño, pues los desarrolladores no deberían tener acceso directo a la base de datos de producción con información sensible.
3.El ISO 27001, porque ofrece un sistema formal y flexible de gestión de la seguridad de la información.</t>
  </si>
  <si>
    <t>daphne.franco0514@alumnos.udg.mx</t>
  </si>
  <si>
    <t>Se violó la confidencialidad(los 50,000 registros de tarjetas fueron sustraídos sin autorización) e integridad (por el acceso completo que permitía las modificaciones no autorizadas a los datos. 
Considero que el principio "mínimo privilegio" habría limitado el daño al restringir acceso del desarrollador para que cada quien tenga solo lo necesario para su función. Como marco de partida recomendaría el CIS Controls v8 porque es altamente prescriptivo y prioriza acciones concretas.</t>
  </si>
  <si>
    <t>andrea.carcano4900@alumnos.udg.mx</t>
  </si>
  <si>
    <t>Se violan los pilares de confidencialidad, ya que, si bien no modificó ni hizo que se cayera ningún servicio, robó los datos para beneficio propio, debieron tener principalmente un mínimo privilegio para que no todas las personas pudieran acceder a estos servicios solo porque sí. Además, recomendaría el NIST, ya que siento que es un marco que se puede adaptar a las empresas fácilmente.</t>
  </si>
  <si>
    <t>juan.geraldo6455@alumnos.udg.mx</t>
  </si>
  <si>
    <t>El pilar que de la Triada de la Ciberseguridad que fue violado es el de la confidencialidad, puesto que la información sensible de los clientes debe de estar resguardado. El principio de diseño que habría limitado el daño en caso de ser implementado sería el de Privilegio Mínimo, puesto que los desarrolladores no debieron tener acceso a producción. El marco de seguridad recomendado para la startup es el CIS Controls (IG1), porque ofrece "higiene básica" para detener ataques comunes y organizar privilegios rápidamente.</t>
  </si>
  <si>
    <t>christian.reyes5675@alumnos.udg.mx</t>
  </si>
  <si>
    <t>90 / 110</t>
  </si>
  <si>
    <t>d) Los tres pilares simultáneamente</t>
  </si>
  <si>
    <t>d) Disponibilidad</t>
  </si>
  <si>
    <t>Se viola la confidencialidad pues accede a los datos de los registros de tarjetas de losusuarios, se hubiera evitado si se hubiera diseñado con PDCA plan do check act, se recomendaria el NIS de confidencialidad, integridad y disponibilidad, asi como el zero trust con minimos privilegios, tambien se recomienda auditorias para detectar mas rapido el evento fue anomalo la descarga de los datos pero no tenian un NGFW para detectar la anomalia por el ID- de usuario</t>
  </si>
  <si>
    <t>liliana.gonzalez1038@alumnos.udg.mx</t>
  </si>
  <si>
    <t>98 / 110</t>
  </si>
  <si>
    <t>b) Controles para organizaciones con datos sensibles que agregan gestión de vulnerabilidades</t>
  </si>
  <si>
    <t>Confidencialidad e integridad porque se expusieron los datos de los clientes y con ellos la integridad de la empresa, ya no hay confianza por tardar demasiado en detectarlo.
Principio del mínimo privilegio 
NIST CSF para la construcción de una buena estrategia de seguridad</t>
  </si>
  <si>
    <t>jorge.ponce1098@alumnos.udg.mx</t>
  </si>
  <si>
    <t>64 / 110</t>
  </si>
  <si>
    <t>b) Segmentación</t>
  </si>
  <si>
    <t>d) Los tres son certificables</t>
  </si>
  <si>
    <t>R1 = Confidencialidad e integridad
R2 = Que tuviera defensa en profundidad, ya que aun que sea el desarrollador, debería tener un limite en cuanto a los datos que ve.
R3 = Dependería bajo que leyes de que país estén regidos, pero vamos a suponer que están en México recomendaría ISO 27001, ya que es lo mínimo que deberían de tener al no tener nada establecido</t>
  </si>
  <si>
    <t>fabian.zaragoza1777@alumnos.udg.mx</t>
  </si>
  <si>
    <t>106 / 110</t>
  </si>
  <si>
    <t>- ¿Qué pilar o pilares del CIA Triad fueron violados y cómo? R:Confidencialidad ya que el desarrollador extrajo información sensible (tarjetas de crédito) sin autorización.
- ¿Qué principio de diseño habría limitado el daño si hubiera estado implementado desde el inicio? R: El principio de Mínimo Privilegio habría evitado esto; los desarrolladores no necesitan acceso total a la base de datos de producción para corregir bugs.
- ¿Qué marco de seguridad le recomendarías a esta empresa como punto de partida y por qué ese específicamente? R: Recomendaría empezar con CIS Controls (Grupo IG1). Al ser una startup que empieza de cero, este marco es ideal porque les dirá exactamente qué controles técnicos de "higiene básica" implementar paso a paso.</t>
  </si>
  <si>
    <t>25/03/2026 10:03:50</t>
  </si>
  <si>
    <t>erick.gomez@alumnos.udg.mx</t>
  </si>
  <si>
    <t>54 / 110</t>
  </si>
  <si>
    <t>d) Confidencialidad e Integridad</t>
  </si>
  <si>
    <t>c) Fase 3 - Implementación</t>
  </si>
  <si>
    <t>Fase 2 — Diseño de arquitectura</t>
  </si>
  <si>
    <t>el pilar de la CIA que afecta fue la confianza ya que los empleados confiaron sus datos y fueron utilizados de forma errónea y no se dieron cuanta .
si la infraestructura hubiera estado diseñada con confianza mínima los empleados comunes no podrían acceder a los datos y centralizar la información en un centro donde tendrían acceso es una falla critica de seguridad ya que jamas hay que confiar en el usuario cuando de datos sensibles se trata ..
el marco del iso27001 que podría establecer los puntos de riesgo que tienen y darle sugerencias de como prevenir</t>
  </si>
  <si>
    <t>diego.martinez6455@alumnos.udg.mx</t>
  </si>
  <si>
    <t>​1. ​Se violó la Confidencialidad, porque un empleado se llevó datos privados de tarjetas que no debía. También falló la Integridad, ya que la empresa perdió el control sobre la autenticidad de esa información al ser extraída sin permiso.
​2. El Mínimo privilegio, porque los desarrolladores no necesitaban acceso total a la base de datos real solo para corregir errores
3. ​Recomendaría CIS Controls porque es el mejor inicio porque son pasos muy prácticos y directos que ayudan a limpiar la higiene básica</t>
  </si>
  <si>
    <t>isis.delavega5053@alumnos.udg.mx</t>
  </si>
  <si>
    <t>85 / 110</t>
  </si>
  <si>
    <t>Confidencialidad, porque información bancaria fue usada de forma indebida por parte de un es empleado; el Zero trust hubiera funcionados para el caso, con el mínimo privilegio que se le otorgara a los empleados seria ya una mitigación. NIST, por ser un marco que funciona para múltiples tipos de organizaciones y que es adaptable a lo que es en este caso una startup financiera, se debe tener en cuenta que el presupuesto para la implementación de ciertas tecnologías es bastante elevado para aquellos que van estableciéndose en el mercado.</t>
  </si>
  <si>
    <t>maria.perez9710@alumnos.udg.mx</t>
  </si>
  <si>
    <t>62 / 110</t>
  </si>
  <si>
    <t>a) NIST CSF 2.0</t>
  </si>
  <si>
    <t>Directamente se violo la confidencialidad y la integridad de los datos, porque si bien era un empleado de la empresa, el pudo ingresar fácilmente a esta información sin problema alguno. | Al momento de crear los perfiles de los trabajadores, asignar permisos diferentes de acuerdo a su puesto de trabajo, ya que por ejemplo, alguien de mkt no tiene que ver información de finanzas; con esto hay un mayor control con información sensible. | El NIST, porque tiene una referencia de marcos de seguridad o recomendaciones de como mejorar los niveles de seguridad, de configuración, casi casi es un paso a paso.</t>
  </si>
  <si>
    <t>rogelio.acosta4009@alumnos.udg.mx</t>
  </si>
  <si>
    <t>CIA Triad: Se violó la Confidencialidad, ya que un usuario accedió y extrajo datos privados sin autorización para ese fin.
Principio de diseño: El Mínimo privilegio, pues los desarrolladores nunca debieron tener acceso a la base de datos de producción real.
Marco de seguridad: CIS Controls v8 (IG1), porque es práctico, prescriptivo y se enfoca en la higiene básica necesaria para startups</t>
  </si>
  <si>
    <t>diego.ibarra5066@alumnos.udg.mx</t>
  </si>
  <si>
    <t>96 / 110</t>
  </si>
  <si>
    <t>-Confidencialidad, los datos no fueron protegidos debidamente. 
-Que no se tenga libre acceso a la base de datos y que no se puedan conectar a fuentes de almacenamiento externo al del equipo así como limitaciones en la red para evitar que se envíen por paginas y aplicaciones externas no autorizadas.
-Recomendaría que implementen un MFA con el cliente, que cuando el cliente necesite ayuda con su tarjeta, para acceder a su información le llegue un código y se lo proporcione al operador, eso y las recomendaciones de la respuesta anterior.</t>
  </si>
  <si>
    <t>25/03/2026 10:05:43</t>
  </si>
  <si>
    <t>tania.gonzalez9708@alumnos.udg.mx</t>
  </si>
  <si>
    <t>Considero que 2 pilares de la CIA fueron violados, la Confidencialidad y la integridad, como no tuvieron los controles requeridos y la integridad por el hecho de poder manipular sus datos para realizar los cargos. El mínimo privilegio, los empleados solo deben acceder a la información mínima para realizar su trabajo, le recomiendo realizar la autenticación multifactor dependiendo la información a la que se pretende acceder.</t>
  </si>
  <si>
    <t>alvaro.rojas6455@alumnos.udg.mx</t>
  </si>
  <si>
    <t>77 / 110</t>
  </si>
  <si>
    <t>La confidencialidad solamente por qué todo siguió disponible y no se modificaron pero si se usaron las tarjetas
El mínimo privilegio hubiera sido una opción
Creo que nist estaría bien para comenzar con algo sencillo pero fuerte que pueda brincar conceptos básicos como el mínimo privilegio y confianza cero</t>
  </si>
  <si>
    <t>karol.avalos6455@alumnos.udg.mx</t>
  </si>
  <si>
    <t>66 / 110</t>
  </si>
  <si>
    <t>d) PROTECT — ¿Cómo prevenimos incidentes?</t>
  </si>
  <si>
    <t>Se violo la confidencialidad porque sus datos fueron bancarios expuestos y no aplicaron el mínimo privilegio, la integridad porque les hicieron cargos entonces no se quedaron íntegros ya que fueron modificados, diseño de arquitectura, y yo diría que el NIST ya que el Iso27001 es ya para algo más internacional entonces le recomiendo este para ir empezar con la seguridad de la empresa ya que tiene los marcos necesarios para que protejan mejor su información.</t>
  </si>
  <si>
    <t>cristian.garay1054@alumnos.udg.mx</t>
  </si>
  <si>
    <t>Fue violada la confidencialidad y la integridad de los datos.
Seria el minimo privilegio que estableceria que cada usuario debe tener acceso a la informacion y al sistema solo lo necesario para trabajar, controles de acceso, gestion de identidades, clasificacion de informacion, etc.
Se recomendaria NITS por practico y adaptable o ISO 27001 por ser estandar certificable y muy reconocido.</t>
  </si>
  <si>
    <t>gabriela.arias0485@alumnos.udg.mx</t>
  </si>
  <si>
    <t>fueron expuestos la integridad y disponibilidad</t>
  </si>
  <si>
    <t>victor.hernandez6453@alumnos.udg.mx</t>
  </si>
  <si>
    <t>99 / 110</t>
  </si>
  <si>
    <t>Confidencialidad e Integridad: Se violó la confidencialidad porque los datos fueron exfiltrados. También se afectó la integridad, ya que el desarrollador "corrompió" la confianza del sistema y alteró el flujo normal de la base de datos al realizar una descarga masiva no autorizada.
Defensa en Profundidad: Si la empresa hubiera implementado este principio, habrían tenido varios firewalls internos que habrían bloqueado la conexión del desarrollador hacia los servidores de producción, impidiendo que llegara hasta los datos.
NIST CSF: Les recomendaría este marco porque, al ser una empresa de tecnología financiera (fintech), es el estándar obligatorio por ley que deben cumplir para poder operar y procesar pagos con tarjeta de crédito de forma legal.</t>
  </si>
  <si>
    <t>tabata.hernandez8735@alumnos.udg.mx</t>
  </si>
  <si>
    <t>- Se violaron la confidencialidad (porque ya un tercero tiene acceso a ellos) y la integridad porque nada nos garantiza que no se hayan modificado o eliminado algunos datos. El principio que nos habría ayudado sería el Privilegio mínimo (para que no tuviera más accesos de los necesarios y la segregación de funciones.</t>
  </si>
  <si>
    <t>25/03/2026 10:51:10</t>
  </si>
  <si>
    <t>israel.pimentel6454@alumnos.udg.mx</t>
  </si>
  <si>
    <t>108 / 110</t>
  </si>
  <si>
    <t>La confidencialidad se rompio, ya que el desarrollador saco la informacion sin permiso.
Por lo visto solo la confidencialidad fue la afectada, porque no menciona alguna alteracion en la empresa o funcionamiento o alguna cosa mas.
Considero que es fundamental implementar políticas internas de seguridad y acuerdos de confidencialidad que restrinjan el acceso a la información</t>
  </si>
  <si>
    <t>Puntuación Provisional</t>
  </si>
  <si>
    <t>Puntos Extra Participación</t>
  </si>
  <si>
    <t>Puntos Extra Examen</t>
  </si>
  <si>
    <t>Nombre de Alumno</t>
  </si>
  <si>
    <t>GONZALEZ CUELLAR EDGAR OSWALDO</t>
  </si>
  <si>
    <t>MARTINEZ DURAN MAHONRI MORIANC</t>
  </si>
  <si>
    <t>MUÑOZ RIVAS JOSHUA</t>
  </si>
  <si>
    <t>FREGOSO SANCHEZ PAOLA</t>
  </si>
  <si>
    <t>LAZOS CRUZ ALLISON</t>
  </si>
  <si>
    <t>FRANCO ARELLANO DAPHNE WENDOLYN</t>
  </si>
  <si>
    <t>CARCAÑO AGUAYO ANDREA LISSETH</t>
  </si>
  <si>
    <t>GERALDO RUBIO JUAN ANTONIO</t>
  </si>
  <si>
    <t>REYES OLMEDO CHRISTIAN ALEJA</t>
  </si>
  <si>
    <t>GONZALEZ MEDRANO LILIANA ARALI</t>
  </si>
  <si>
    <t>PONCE RAMIREZ JORGE ALBERTO</t>
  </si>
  <si>
    <t>ZARAGOZA BRAMBILA FABIAN ISAI</t>
  </si>
  <si>
    <t>GOMEZ CASTORENA ERICK JOSUE</t>
  </si>
  <si>
    <t>MARTINEZ GUTIERREZ DIEGO EUGENIO</t>
  </si>
  <si>
    <t>DE LA VEGA SANCHEZ ISIS KAROL</t>
  </si>
  <si>
    <t>PEREZ GOMEZ MARIA ANDREA</t>
  </si>
  <si>
    <t>ACOSTA SANDOVAL ROGELIO ESAU</t>
  </si>
  <si>
    <t>IBARRA GRACIA DIEGO DAVID</t>
  </si>
  <si>
    <t>GONZALEZ CALVILLO TANIA MARIA</t>
  </si>
  <si>
    <t>ROJAS BOBADILLA ALVARO ARTURO</t>
  </si>
  <si>
    <t>AVALOS RODRIGUEZ KAROL GUADALUPE</t>
  </si>
  <si>
    <t>GARAY GUZMAN CRISTIAN RENE</t>
  </si>
  <si>
    <t>ARIAS CASTELLON GABRIELA ESPERA</t>
  </si>
  <si>
    <t>HERNANDEZ VILLANUEVA VICTOR DANIEL</t>
  </si>
  <si>
    <t>HERNANDEZ VENEGAS TABATA CRISTINA</t>
  </si>
  <si>
    <t>PIMENTEL MELGOZA ISRAEL RICARDO</t>
  </si>
  <si>
    <t>emmanuel.deluna1544@alumnos.udg.mx</t>
  </si>
  <si>
    <t>101 / 110</t>
  </si>
  <si>
    <t>confiablidad, se extrajeron datos se extrajo información sin que hubiera controles que lo impidieran o detectaran , porque tenia privilegios mínimos para acceder a ellos sin una autorización mayor o del alguien mas, usar controls cis superiores porque al no tener dichos controles, pueden volver a pasar este tipo de situaciones las cuales solo provocara la desconfianza del cliente y al implementar dichos controles le ayudaran mitigar</t>
  </si>
  <si>
    <t>DE LUNA MOZQUEDA EMMANUEL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</si>
</sst>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charset val="1"/>
    </font>
    <font>
      <b/>
      <sz val="13"/>
      <color rgb="FFFFFFFF"/>
      <name val="Arial"/>
      <family val="2"/>
    </font>
    <font>
      <sz val="8"/>
      <color rgb="FFFFFFFF"/>
      <name val="Arial"/>
      <family val="2"/>
    </font>
    <font>
      <b/>
      <sz val="8"/>
      <color rgb="FFFFFFFF"/>
      <name val="Arial"/>
      <family val="2"/>
    </font>
    <font>
      <b/>
      <sz val="7"/>
      <color rgb="FFFFFFFF"/>
      <name val="Arial"/>
      <family val="2"/>
    </font>
    <font>
      <b/>
      <sz val="9"/>
      <name val="Arial"/>
      <family val="2"/>
    </font>
    <font>
      <sz val="9"/>
      <name val="Arial"/>
      <family val="2"/>
    </font>
    <font>
      <sz val="8"/>
      <color rgb="FF444444"/>
      <name val="Arial"/>
      <family val="2"/>
    </font>
    <font>
      <b/>
      <sz val="9"/>
      <color rgb="FFFFFFFF"/>
      <name val="Arial"/>
      <family val="2"/>
    </font>
    <font>
      <i/>
      <sz val="8"/>
      <color rgb="FF444444"/>
      <name val="Arial"/>
      <family val="2"/>
    </font>
    <font>
      <sz val="10"/>
      <color rgb="FFFFFFFF"/>
      <name val="Roboto"/>
    </font>
    <font>
      <sz val="10"/>
      <color rgb="FF434343"/>
      <name val="Roboto"/>
    </font>
    <font>
      <sz val="10"/>
      <color theme="0"/>
      <name val="Roboto"/>
    </font>
    <font>
      <sz val="11"/>
      <color theme="0"/>
      <name val="Calibri"/>
      <family val="2"/>
      <charset val="1"/>
    </font>
    <font>
      <b/>
      <sz val="10"/>
      <color rgb="FF434343"/>
      <name val="Roboto"/>
    </font>
  </fonts>
  <fills count="20">
    <fill>
      <patternFill patternType="none"/>
    </fill>
    <fill>
      <patternFill patternType="gray125"/>
    </fill>
    <fill>
      <patternFill patternType="solid">
        <fgColor rgb="FF0F3D22"/>
        <bgColor rgb="FF333300"/>
      </patternFill>
    </fill>
    <fill>
      <patternFill patternType="solid">
        <fgColor rgb="FF1A5C33"/>
        <bgColor rgb="FF237A44"/>
      </patternFill>
    </fill>
    <fill>
      <patternFill patternType="solid">
        <fgColor rgb="FF7B6000"/>
        <bgColor rgb="FF993300"/>
      </patternFill>
    </fill>
    <fill>
      <patternFill patternType="solid">
        <fgColor rgb="FF237A44"/>
        <bgColor rgb="FF1A5C33"/>
      </patternFill>
    </fill>
    <fill>
      <patternFill patternType="solid">
        <fgColor rgb="FFF2F7F2"/>
        <bgColor rgb="FFF5F5F5"/>
      </patternFill>
    </fill>
    <fill>
      <patternFill patternType="solid">
        <fgColor rgb="FFEAF4EA"/>
        <bgColor rgb="FFF2F7F2"/>
      </patternFill>
    </fill>
    <fill>
      <patternFill patternType="solid">
        <fgColor rgb="FFFDE9E9"/>
        <bgColor rgb="FFF5F5F5"/>
      </patternFill>
    </fill>
    <fill>
      <patternFill patternType="solid">
        <fgColor rgb="FFFFF9E6"/>
        <bgColor rgb="FFF5F5F5"/>
      </patternFill>
    </fill>
    <fill>
      <patternFill patternType="solid">
        <fgColor rgb="FFFFFFFF"/>
        <bgColor rgb="FFFFF9E6"/>
      </patternFill>
    </fill>
    <fill>
      <patternFill patternType="solid">
        <fgColor rgb="FFF5F5F5"/>
        <bgColor rgb="FFF2F7F2"/>
      </patternFill>
    </fill>
    <fill>
      <patternFill patternType="solid">
        <fgColor rgb="FFFFFF00"/>
        <bgColor rgb="FF237A44"/>
      </patternFill>
    </fill>
    <fill>
      <patternFill patternType="solid">
        <fgColor rgb="FFFFFF00"/>
        <bgColor rgb="FFF5F5F5"/>
      </patternFill>
    </fill>
    <fill>
      <patternFill patternType="solid">
        <fgColor rgb="FFFFFF00"/>
        <bgColor rgb="FFFFF9E6"/>
      </patternFill>
    </fill>
    <fill>
      <patternFill patternType="solid">
        <fgColor rgb="FFFFFF00"/>
        <bgColor indexed="64"/>
      </patternFill>
    </fill>
    <fill>
      <patternFill patternType="solid">
        <fgColor rgb="FF5B3F86"/>
        <bgColor indexed="64"/>
      </patternFill>
    </fill>
    <fill>
      <patternFill patternType="solid">
        <fgColor rgb="FFFFFFFF"/>
        <bgColor indexed="64"/>
      </patternFill>
    </fill>
    <fill>
      <patternFill patternType="solid">
        <fgColor rgb="FFF8F9FA"/>
        <bgColor indexed="64"/>
      </patternFill>
    </fill>
    <fill>
      <patternFill patternType="solid">
        <fgColor theme="3"/>
        <bgColor indexed="64"/>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1">
    <xf numFmtId="0" fontId="0" fillId="0" borderId="0" xfId="0"/>
    <xf numFmtId="0" fontId="8" fillId="2" borderId="0" xfId="0" applyFont="1" applyFill="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0" fillId="2" borderId="0" xfId="0" applyFill="1"/>
    <xf numFmtId="0" fontId="4" fillId="3"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0" fillId="4" borderId="0" xfId="0" applyFill="1"/>
    <xf numFmtId="0" fontId="5" fillId="6" borderId="1" xfId="0" applyFont="1" applyFill="1" applyBorder="1" applyAlignment="1">
      <alignment horizontal="center" vertical="center" wrapText="1"/>
    </xf>
    <xf numFmtId="0" fontId="6" fillId="6" borderId="1" xfId="0" applyFont="1" applyFill="1" applyBorder="1" applyAlignment="1">
      <alignment horizontal="left" vertical="center"/>
    </xf>
    <xf numFmtId="0" fontId="7" fillId="6"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5" fillId="7"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164" fontId="5" fillId="9" borderId="1" xfId="0" applyNumberFormat="1" applyFont="1" applyFill="1" applyBorder="1" applyAlignment="1">
      <alignment horizontal="center" vertical="center" wrapText="1"/>
    </xf>
    <xf numFmtId="0" fontId="5" fillId="10" borderId="1" xfId="0" applyFont="1" applyFill="1" applyBorder="1" applyAlignment="1">
      <alignment horizontal="center" vertical="center" wrapText="1"/>
    </xf>
    <xf numFmtId="0" fontId="6" fillId="10" borderId="1" xfId="0" applyFont="1" applyFill="1" applyBorder="1" applyAlignment="1">
      <alignment horizontal="left" vertical="center"/>
    </xf>
    <xf numFmtId="0" fontId="7" fillId="10" borderId="1" xfId="0" applyFont="1" applyFill="1" applyBorder="1" applyAlignment="1">
      <alignment horizontal="center" vertical="center" wrapText="1"/>
    </xf>
    <xf numFmtId="0" fontId="0" fillId="10" borderId="1" xfId="0" applyFill="1" applyBorder="1" applyAlignment="1">
      <alignment horizontal="center" vertical="center" wrapText="1"/>
    </xf>
    <xf numFmtId="0" fontId="8" fillId="3" borderId="1" xfId="0" applyFont="1" applyFill="1" applyBorder="1" applyAlignment="1">
      <alignment horizontal="center" vertical="center" wrapText="1"/>
    </xf>
    <xf numFmtId="0" fontId="3" fillId="2" borderId="0" xfId="0" applyFont="1" applyFill="1" applyAlignment="1">
      <alignment horizontal="center" vertical="center" wrapText="1"/>
    </xf>
    <xf numFmtId="0" fontId="4" fillId="12" borderId="1" xfId="0" applyFont="1" applyFill="1" applyBorder="1" applyAlignment="1">
      <alignment horizontal="center" vertical="center" wrapText="1"/>
    </xf>
    <xf numFmtId="0" fontId="0" fillId="13" borderId="1" xfId="0" applyFill="1" applyBorder="1" applyAlignment="1">
      <alignment horizontal="center" vertical="center" wrapText="1"/>
    </xf>
    <xf numFmtId="0" fontId="0" fillId="14" borderId="1" xfId="0" applyFill="1" applyBorder="1" applyAlignment="1">
      <alignment horizontal="center" vertical="center" wrapText="1"/>
    </xf>
    <xf numFmtId="0" fontId="8" fillId="12" borderId="1" xfId="0" applyFont="1" applyFill="1" applyBorder="1" applyAlignment="1">
      <alignment horizontal="center" vertical="center" wrapText="1"/>
    </xf>
    <xf numFmtId="0" fontId="0" fillId="15" borderId="0" xfId="0" applyFill="1"/>
    <xf numFmtId="0" fontId="13" fillId="0" borderId="0" xfId="0" applyFont="1"/>
    <xf numFmtId="0" fontId="5" fillId="0" borderId="1" xfId="0" applyFont="1" applyBorder="1" applyAlignment="1">
      <alignment horizontal="center" vertical="center" wrapText="1"/>
    </xf>
    <xf numFmtId="0" fontId="6" fillId="0" borderId="1" xfId="0" applyFont="1" applyBorder="1" applyAlignment="1">
      <alignment horizontal="left" vertical="center"/>
    </xf>
    <xf numFmtId="0" fontId="7" fillId="0" borderId="1" xfId="0" applyFont="1" applyBorder="1" applyAlignment="1">
      <alignment horizontal="center" vertical="center" wrapText="1"/>
    </xf>
    <xf numFmtId="0" fontId="0" fillId="0" borderId="1" xfId="0" applyBorder="1" applyAlignment="1">
      <alignment horizontal="center" vertical="center" wrapText="1"/>
    </xf>
    <xf numFmtId="164" fontId="5" fillId="0" borderId="1" xfId="0" applyNumberFormat="1" applyFont="1" applyBorder="1" applyAlignment="1">
      <alignment horizontal="center" vertical="center" wrapText="1"/>
    </xf>
    <xf numFmtId="0" fontId="0" fillId="15" borderId="1" xfId="0" applyFill="1" applyBorder="1" applyAlignment="1">
      <alignment horizontal="center" vertical="center" wrapText="1"/>
    </xf>
    <xf numFmtId="0" fontId="10" fillId="16" borderId="3" xfId="0" applyFont="1" applyFill="1" applyBorder="1" applyAlignment="1">
      <alignment vertical="center"/>
    </xf>
    <xf numFmtId="0" fontId="12" fillId="19" borderId="3" xfId="0" applyFont="1" applyFill="1" applyBorder="1" applyAlignment="1">
      <alignment vertical="center"/>
    </xf>
    <xf numFmtId="22" fontId="11" fillId="18" borderId="3" xfId="0" applyNumberFormat="1" applyFont="1" applyFill="1" applyBorder="1" applyAlignment="1">
      <alignment horizontal="right" vertical="center"/>
    </xf>
    <xf numFmtId="0" fontId="11" fillId="18" borderId="3" xfId="0" applyFont="1" applyFill="1" applyBorder="1" applyAlignment="1">
      <alignment vertical="center"/>
    </xf>
    <xf numFmtId="0" fontId="11" fillId="18" borderId="3" xfId="0" applyFont="1" applyFill="1" applyBorder="1" applyAlignment="1">
      <alignment horizontal="right" vertical="center"/>
    </xf>
    <xf numFmtId="0" fontId="12" fillId="19" borderId="3" xfId="0" applyFont="1" applyFill="1" applyBorder="1" applyAlignment="1">
      <alignment horizontal="right" vertical="center"/>
    </xf>
    <xf numFmtId="22" fontId="11" fillId="17" borderId="3" xfId="0" applyNumberFormat="1" applyFont="1" applyFill="1" applyBorder="1" applyAlignment="1">
      <alignment horizontal="right" vertical="center"/>
    </xf>
    <xf numFmtId="0" fontId="11" fillId="17" borderId="3" xfId="0" applyFont="1" applyFill="1" applyBorder="1" applyAlignment="1">
      <alignment vertical="center"/>
    </xf>
    <xf numFmtId="0" fontId="11" fillId="17" borderId="3" xfId="0" applyFont="1" applyFill="1" applyBorder="1" applyAlignment="1">
      <alignment horizontal="right" vertical="center"/>
    </xf>
    <xf numFmtId="0" fontId="0" fillId="0" borderId="3" xfId="0" applyBorder="1" applyAlignment="1">
      <alignment horizontal="right"/>
    </xf>
    <xf numFmtId="0" fontId="14" fillId="18" borderId="3" xfId="0" applyFont="1" applyFill="1" applyBorder="1" applyAlignment="1">
      <alignment horizontal="right" vertical="center"/>
    </xf>
    <xf numFmtId="0" fontId="3" fillId="2"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8" fillId="2" borderId="0" xfId="0" applyFont="1" applyFill="1" applyAlignment="1">
      <alignment horizontal="center" vertical="center" wrapText="1"/>
    </xf>
    <xf numFmtId="0" fontId="9" fillId="11" borderId="0" xfId="0" applyFont="1" applyFill="1" applyAlignment="1">
      <alignment horizontal="left" vertical="center"/>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cellXfs>
  <cellStyles count="1">
    <cellStyle name="Normal" xfId="0" builtinId="0"/>
  </cellStyles>
  <dxfs count="2">
    <dxf>
      <fill>
        <patternFill>
          <bgColor rgb="FFCCFFCC"/>
        </patternFill>
      </fill>
    </dxf>
    <dxf>
      <fill>
        <patternFill>
          <bgColor rgb="FFFFCC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A5C33"/>
      <rgbColor rgb="FF000080"/>
      <rgbColor rgb="FF7B6000"/>
      <rgbColor rgb="FF800080"/>
      <rgbColor rgb="FF008080"/>
      <rgbColor rgb="FFCCCCCC"/>
      <rgbColor rgb="FF808080"/>
      <rgbColor rgb="FF9999FF"/>
      <rgbColor rgb="FF993366"/>
      <rgbColor rgb="FFFFF9E6"/>
      <rgbColor rgb="FFEAF4EA"/>
      <rgbColor rgb="FF660066"/>
      <rgbColor rgb="FFFF8080"/>
      <rgbColor rgb="FF0066CC"/>
      <rgbColor rgb="FFF5F5F5"/>
      <rgbColor rgb="FF000080"/>
      <rgbColor rgb="FFFF00FF"/>
      <rgbColor rgb="FFFFFF00"/>
      <rgbColor rgb="FF00FFFF"/>
      <rgbColor rgb="FF800080"/>
      <rgbColor rgb="FF800000"/>
      <rgbColor rgb="FF008080"/>
      <rgbColor rgb="FF0000FF"/>
      <rgbColor rgb="FF00CCFF"/>
      <rgbColor rgb="FFF2F7F2"/>
      <rgbColor rgb="FFCCFFCC"/>
      <rgbColor rgb="FFFDE9E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237A44"/>
      <rgbColor rgb="FF0F3D22"/>
      <rgbColor rgb="FF333300"/>
      <rgbColor rgb="FF993300"/>
      <rgbColor rgb="FF993366"/>
      <rgbColor rgb="FF333399"/>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672BD36-4CC6-407E-9D47-9DA25B605694}">
  <we:reference id="wa200009404" version="1.0.0.8" store="en-US" storeType="OMEX"/>
  <we:alternateReferences>
    <we:reference id="WA200009404" version="1.0.0.8" store="" storeType="OMEX"/>
  </we:alternateReferences>
  <we:properties>
    <we:property name="claude.fileId" value="&quot;cd3cee39-8064-473a-b1ea-18d85a69773c&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35"/>
  <sheetViews>
    <sheetView tabSelected="1" zoomScaleNormal="100" workbookViewId="0">
      <pane xSplit="4" ySplit="5" topLeftCell="E11" activePane="bottomRight" state="frozen"/>
      <selection pane="topRight" activeCell="E1" sqref="E1"/>
      <selection pane="bottomLeft" activeCell="A6" sqref="A6"/>
      <selection pane="bottomRight" activeCell="E28" sqref="E28"/>
    </sheetView>
  </sheetViews>
  <sheetFormatPr defaultColWidth="8.7109375" defaultRowHeight="15" x14ac:dyDescent="0.25"/>
  <cols>
    <col min="1" max="1" width="4" customWidth="1"/>
    <col min="2" max="2" width="22" customWidth="1"/>
    <col min="3" max="3" width="20" customWidth="1"/>
    <col min="4" max="4" width="12" customWidth="1"/>
    <col min="5" max="5" width="6.7109375" customWidth="1"/>
    <col min="6" max="6" width="8.28515625" customWidth="1"/>
    <col min="7" max="17" width="4.42578125" customWidth="1"/>
    <col min="18" max="18" width="7" customWidth="1"/>
    <col min="19" max="32" width="4.42578125" customWidth="1"/>
    <col min="33" max="33" width="4.42578125" style="26" customWidth="1"/>
    <col min="34" max="38" width="4.42578125" customWidth="1"/>
    <col min="39" max="40" width="7" customWidth="1"/>
    <col min="41" max="41" width="9" customWidth="1"/>
  </cols>
  <sheetData>
    <row r="1" spans="1:41" ht="25.5" customHeight="1" x14ac:dyDescent="0.25">
      <c r="A1" s="49" t="s">
        <v>0</v>
      </c>
      <c r="B1" s="49"/>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c r="AG1" s="49"/>
      <c r="AH1" s="49"/>
      <c r="AI1" s="49"/>
      <c r="AJ1" s="49"/>
      <c r="AK1" s="49"/>
      <c r="AL1" s="49"/>
      <c r="AM1" s="49"/>
      <c r="AN1" s="49"/>
      <c r="AO1" s="49"/>
    </row>
    <row r="2" spans="1:41" ht="15.75" customHeight="1" x14ac:dyDescent="0.25">
      <c r="A2" s="50" t="s">
        <v>1</v>
      </c>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row>
    <row r="3" spans="1:41" ht="19.5" customHeight="1" x14ac:dyDescent="0.25">
      <c r="A3" s="3" t="s">
        <v>2</v>
      </c>
      <c r="B3" s="3" t="s">
        <v>3</v>
      </c>
      <c r="C3" s="3" t="s">
        <v>4</v>
      </c>
      <c r="D3" s="3" t="s">
        <v>5</v>
      </c>
      <c r="E3" s="2" t="s">
        <v>274</v>
      </c>
      <c r="F3" s="2" t="s">
        <v>275</v>
      </c>
      <c r="G3" s="45" t="s">
        <v>6</v>
      </c>
      <c r="H3" s="45"/>
      <c r="I3" s="46" t="s">
        <v>7</v>
      </c>
      <c r="J3" s="46"/>
      <c r="K3" s="45" t="s">
        <v>8</v>
      </c>
      <c r="L3" s="45"/>
      <c r="M3" s="46" t="s">
        <v>9</v>
      </c>
      <c r="N3" s="46"/>
      <c r="O3" s="45" t="s">
        <v>10</v>
      </c>
      <c r="P3" s="45"/>
      <c r="Q3" s="46" t="s">
        <v>11</v>
      </c>
      <c r="R3" s="46"/>
      <c r="S3" s="45" t="s">
        <v>12</v>
      </c>
      <c r="T3" s="45"/>
      <c r="U3" s="46" t="s">
        <v>13</v>
      </c>
      <c r="V3" s="46"/>
      <c r="W3" s="45" t="s">
        <v>14</v>
      </c>
      <c r="X3" s="45"/>
      <c r="Y3" s="46" t="s">
        <v>15</v>
      </c>
      <c r="Z3" s="46"/>
      <c r="AA3" s="45" t="s">
        <v>16</v>
      </c>
      <c r="AB3" s="45"/>
      <c r="AC3" s="46" t="s">
        <v>17</v>
      </c>
      <c r="AD3" s="46"/>
      <c r="AE3" s="45" t="s">
        <v>18</v>
      </c>
      <c r="AF3" s="45"/>
      <c r="AG3" s="46" t="s">
        <v>19</v>
      </c>
      <c r="AH3" s="46"/>
      <c r="AI3" s="45" t="s">
        <v>20</v>
      </c>
      <c r="AJ3" s="45"/>
      <c r="AK3" s="46" t="s">
        <v>21</v>
      </c>
      <c r="AL3" s="46"/>
      <c r="AM3" s="4" t="s">
        <v>22</v>
      </c>
      <c r="AN3" s="4" t="s">
        <v>23</v>
      </c>
      <c r="AO3" s="4" t="s">
        <v>24</v>
      </c>
    </row>
    <row r="4" spans="1:41" ht="13.5" customHeight="1" x14ac:dyDescent="0.25">
      <c r="A4" s="5"/>
      <c r="B4" s="5"/>
      <c r="C4" s="5"/>
      <c r="D4" s="5"/>
      <c r="E4" s="5"/>
      <c r="F4" s="5"/>
      <c r="G4" s="6" t="s">
        <v>25</v>
      </c>
      <c r="H4" s="7" t="s">
        <v>26</v>
      </c>
      <c r="I4" s="6" t="s">
        <v>25</v>
      </c>
      <c r="J4" s="7" t="s">
        <v>26</v>
      </c>
      <c r="K4" s="6" t="s">
        <v>25</v>
      </c>
      <c r="L4" s="7" t="s">
        <v>26</v>
      </c>
      <c r="M4" s="6" t="s">
        <v>25</v>
      </c>
      <c r="N4" s="7" t="s">
        <v>26</v>
      </c>
      <c r="O4" s="6" t="s">
        <v>25</v>
      </c>
      <c r="P4" s="7" t="s">
        <v>26</v>
      </c>
      <c r="Q4" s="6" t="s">
        <v>25</v>
      </c>
      <c r="R4" s="7" t="s">
        <v>26</v>
      </c>
      <c r="S4" s="6" t="s">
        <v>25</v>
      </c>
      <c r="T4" s="7" t="s">
        <v>26</v>
      </c>
      <c r="U4" s="6" t="s">
        <v>25</v>
      </c>
      <c r="V4" s="7" t="s">
        <v>26</v>
      </c>
      <c r="W4" s="6" t="s">
        <v>25</v>
      </c>
      <c r="X4" s="7" t="s">
        <v>26</v>
      </c>
      <c r="Y4" s="6" t="s">
        <v>25</v>
      </c>
      <c r="Z4" s="7" t="s">
        <v>26</v>
      </c>
      <c r="AA4" s="6" t="s">
        <v>25</v>
      </c>
      <c r="AB4" s="7" t="s">
        <v>26</v>
      </c>
      <c r="AC4" s="6" t="s">
        <v>25</v>
      </c>
      <c r="AD4" s="7" t="s">
        <v>26</v>
      </c>
      <c r="AE4" s="6" t="s">
        <v>25</v>
      </c>
      <c r="AF4" s="7" t="s">
        <v>26</v>
      </c>
      <c r="AG4" s="22" t="s">
        <v>25</v>
      </c>
      <c r="AH4" s="7" t="s">
        <v>26</v>
      </c>
      <c r="AI4" s="6" t="s">
        <v>25</v>
      </c>
      <c r="AJ4" s="7" t="s">
        <v>26</v>
      </c>
      <c r="AK4" s="6" t="s">
        <v>25</v>
      </c>
      <c r="AL4" s="7" t="s">
        <v>26</v>
      </c>
      <c r="AM4" s="8"/>
      <c r="AN4" s="8"/>
      <c r="AO4" s="8"/>
    </row>
    <row r="5" spans="1:41" ht="27.75" customHeight="1" x14ac:dyDescent="0.25">
      <c r="A5" s="5"/>
      <c r="B5" s="5"/>
      <c r="C5" s="5"/>
      <c r="D5" s="5"/>
      <c r="E5" s="5"/>
      <c r="F5" s="5"/>
      <c r="G5" s="6" t="s">
        <v>27</v>
      </c>
      <c r="H5" s="7" t="s">
        <v>28</v>
      </c>
      <c r="I5" s="6" t="s">
        <v>29</v>
      </c>
      <c r="J5" s="7" t="s">
        <v>30</v>
      </c>
      <c r="K5" s="6" t="s">
        <v>31</v>
      </c>
      <c r="L5" s="7" t="s">
        <v>32</v>
      </c>
      <c r="M5" s="6" t="s">
        <v>33</v>
      </c>
      <c r="N5" s="7" t="s">
        <v>34</v>
      </c>
      <c r="O5" s="6" t="s">
        <v>35</v>
      </c>
      <c r="P5" s="7" t="s">
        <v>36</v>
      </c>
      <c r="Q5" s="6" t="s">
        <v>37</v>
      </c>
      <c r="R5" s="7" t="s">
        <v>38</v>
      </c>
      <c r="S5" s="6" t="s">
        <v>39</v>
      </c>
      <c r="T5" s="7" t="s">
        <v>40</v>
      </c>
      <c r="U5" s="6" t="s">
        <v>41</v>
      </c>
      <c r="V5" s="7" t="s">
        <v>42</v>
      </c>
      <c r="W5" s="6" t="s">
        <v>43</v>
      </c>
      <c r="X5" s="7" t="s">
        <v>44</v>
      </c>
      <c r="Y5" s="6" t="s">
        <v>45</v>
      </c>
      <c r="Z5" s="7" t="s">
        <v>46</v>
      </c>
      <c r="AA5" s="6" t="s">
        <v>47</v>
      </c>
      <c r="AB5" s="7" t="s">
        <v>48</v>
      </c>
      <c r="AC5" s="6" t="s">
        <v>49</v>
      </c>
      <c r="AD5" s="7" t="s">
        <v>50</v>
      </c>
      <c r="AE5" s="6" t="s">
        <v>51</v>
      </c>
      <c r="AF5" s="7" t="s">
        <v>52</v>
      </c>
      <c r="AG5" s="22" t="s">
        <v>53</v>
      </c>
      <c r="AH5" s="7" t="s">
        <v>54</v>
      </c>
      <c r="AI5" s="6" t="s">
        <v>55</v>
      </c>
      <c r="AJ5" s="7" t="s">
        <v>56</v>
      </c>
      <c r="AK5" s="6" t="s">
        <v>57</v>
      </c>
      <c r="AL5" s="7" t="s">
        <v>58</v>
      </c>
      <c r="AM5" s="8"/>
      <c r="AN5" s="8"/>
      <c r="AO5" s="8"/>
    </row>
    <row r="6" spans="1:41" ht="15" customHeight="1" x14ac:dyDescent="0.25">
      <c r="A6" s="9">
        <v>1</v>
      </c>
      <c r="B6" s="10" t="s">
        <v>59</v>
      </c>
      <c r="C6" s="10" t="s">
        <v>60</v>
      </c>
      <c r="D6" s="11" t="s">
        <v>61</v>
      </c>
      <c r="E6" s="11"/>
      <c r="F6" s="11">
        <f>IFERROR(ROUND(_xlfn.XLOOKUP(B6&amp;" "&amp;C6,'Examen 1'!B$2:B$27,'Examen 1'!E$2:E$27,0)/100*5,1),0)</f>
        <v>5</v>
      </c>
      <c r="G6" s="19" t="s">
        <v>145</v>
      </c>
      <c r="H6" s="19" t="s">
        <v>145</v>
      </c>
      <c r="I6" s="19" t="s">
        <v>145</v>
      </c>
      <c r="J6" s="19" t="s">
        <v>145</v>
      </c>
      <c r="K6" s="19" t="s">
        <v>145</v>
      </c>
      <c r="L6" s="19" t="s">
        <v>145</v>
      </c>
      <c r="M6" s="19" t="s">
        <v>145</v>
      </c>
      <c r="N6" s="19" t="s">
        <v>145</v>
      </c>
      <c r="O6" s="19" t="s">
        <v>145</v>
      </c>
      <c r="P6" s="19" t="s">
        <v>145</v>
      </c>
      <c r="Q6" s="19" t="s">
        <v>145</v>
      </c>
      <c r="R6" s="19" t="s">
        <v>145</v>
      </c>
      <c r="S6" s="19" t="s">
        <v>145</v>
      </c>
      <c r="T6" s="19" t="s">
        <v>145</v>
      </c>
      <c r="U6" s="19" t="s">
        <v>145</v>
      </c>
      <c r="V6" s="19" t="s">
        <v>145</v>
      </c>
      <c r="W6" s="19" t="s">
        <v>145</v>
      </c>
      <c r="X6" s="19" t="s">
        <v>146</v>
      </c>
      <c r="Y6" s="19" t="s">
        <v>146</v>
      </c>
      <c r="Z6" s="19" t="s">
        <v>146</v>
      </c>
      <c r="AA6" s="12" t="s">
        <v>145</v>
      </c>
      <c r="AB6" s="12" t="s">
        <v>145</v>
      </c>
      <c r="AC6" s="12" t="s">
        <v>145</v>
      </c>
      <c r="AD6" s="12" t="s">
        <v>145</v>
      </c>
      <c r="AE6" s="12" t="s">
        <v>145</v>
      </c>
      <c r="AF6" s="12"/>
      <c r="AG6" s="23"/>
      <c r="AH6" s="12"/>
      <c r="AI6" s="12"/>
      <c r="AJ6" s="12"/>
      <c r="AK6" s="12"/>
      <c r="AL6" s="12"/>
      <c r="AM6" s="13">
        <f t="shared" ref="AM6:AM32" si="0">COUNTIF(G6,"A")+COUNTIF(H6,"A")+COUNTIF(I6,"A")+COUNTIF(J6,"A")+COUNTIF(K6,"A")+COUNTIF(L6,"A")+COUNTIF(M6,"A")+COUNTIF(N6,"A")+COUNTIF(O6,"A")+COUNTIF(P6,"A")+COUNTIF(Q6,"A")+COUNTIF(R6,"A")+COUNTIF(S6,"A")+COUNTIF(T6,"A")+COUNTIF(U6,"A")+COUNTIF(V6,"A")+COUNTIF(W6,"A")+COUNTIF(X6,"A")+COUNTIF(Y6,"A")+COUNTIF(Z6,"A")+COUNTIF(AA6,"A")+COUNTIF(AB6,"A")+COUNTIF(AC6,"A")+COUNTIF(AD6,"A")+COUNTIF(AE6,"A")+COUNTIF(AF6,"A")+COUNTIF(AG6,"A")+COUNTIF(AH6,"A")+COUNTIF(AI6,"A")+COUNTIF(AJ6,"A")+COUNTIF(AK6,"A")+COUNTIF(AL6,"A")</f>
        <v>22</v>
      </c>
      <c r="AN6" s="14">
        <f t="shared" ref="AN6:AN32" si="1">COUNTIF(G6,"F")+COUNTIF(H6,"F")+COUNTIF(I6,"F")+COUNTIF(J6,"F")+COUNTIF(K6,"F")+COUNTIF(L6,"F")+COUNTIF(M6,"F")+COUNTIF(N6,"F")+COUNTIF(O6,"F")+COUNTIF(P6,"F")+COUNTIF(Q6,"F")+COUNTIF(R6,"F")+COUNTIF(S6,"F")+COUNTIF(T6,"F")+COUNTIF(U6,"F")+COUNTIF(V6,"F")+COUNTIF(W6,"F")+COUNTIF(X6,"F")+COUNTIF(Y6,"F")+COUNTIF(Z6,"F")+COUNTIF(AA6,"F")+COUNTIF(AB6,"F")+COUNTIF(AC6,"F")+COUNTIF(AD6,"F")+COUNTIF(AE6,"F")+COUNTIF(AF6,"F")+COUNTIF(AG6,"F")+COUNTIF(AH6,"F")+COUNTIF(AI6,"F")+COUNTIF(AJ6,"F")+COUNTIF(AK6,"F")+COUNTIF(AL6,"F")</f>
        <v>0</v>
      </c>
      <c r="AO6" s="15">
        <f t="shared" ref="AO6:AO32" si="2">IF(AM6=0,"",AM6/32)</f>
        <v>0.6875</v>
      </c>
    </row>
    <row r="7" spans="1:41" ht="15" customHeight="1" x14ac:dyDescent="0.25">
      <c r="A7" s="16">
        <v>2</v>
      </c>
      <c r="B7" s="17" t="s">
        <v>62</v>
      </c>
      <c r="C7" s="17" t="s">
        <v>63</v>
      </c>
      <c r="D7" s="18" t="s">
        <v>64</v>
      </c>
      <c r="E7" s="18"/>
      <c r="F7" s="11">
        <f>IFERROR(ROUND(_xlfn.XLOOKUP(B7&amp;" "&amp;C7,'Examen 1'!B$2:B$27,'Examen 1'!E$2:E$27,0)/100*5,1),0)</f>
        <v>4.3</v>
      </c>
      <c r="G7" s="19" t="s">
        <v>145</v>
      </c>
      <c r="H7" s="19" t="s">
        <v>145</v>
      </c>
      <c r="I7" s="19" t="s">
        <v>145</v>
      </c>
      <c r="J7" s="19" t="s">
        <v>145</v>
      </c>
      <c r="K7" s="19" t="s">
        <v>145</v>
      </c>
      <c r="L7" s="19" t="s">
        <v>145</v>
      </c>
      <c r="M7" s="19" t="s">
        <v>145</v>
      </c>
      <c r="N7" s="19" t="s">
        <v>145</v>
      </c>
      <c r="O7" s="19" t="s">
        <v>145</v>
      </c>
      <c r="P7" s="19" t="s">
        <v>145</v>
      </c>
      <c r="Q7" s="19" t="s">
        <v>145</v>
      </c>
      <c r="R7" s="19" t="s">
        <v>145</v>
      </c>
      <c r="S7" s="19" t="s">
        <v>145</v>
      </c>
      <c r="T7" s="19" t="s">
        <v>145</v>
      </c>
      <c r="U7" s="19" t="s">
        <v>145</v>
      </c>
      <c r="V7" s="19" t="s">
        <v>145</v>
      </c>
      <c r="W7" s="19" t="s">
        <v>145</v>
      </c>
      <c r="X7" s="19" t="s">
        <v>146</v>
      </c>
      <c r="Y7" s="19" t="s">
        <v>146</v>
      </c>
      <c r="Z7" s="19" t="s">
        <v>146</v>
      </c>
      <c r="AA7" s="12" t="s">
        <v>145</v>
      </c>
      <c r="AB7" s="19" t="s">
        <v>145</v>
      </c>
      <c r="AC7" s="12" t="s">
        <v>145</v>
      </c>
      <c r="AD7" s="12" t="s">
        <v>145</v>
      </c>
      <c r="AE7" s="12" t="s">
        <v>145</v>
      </c>
      <c r="AF7" s="19"/>
      <c r="AG7" s="24"/>
      <c r="AH7" s="19"/>
      <c r="AI7" s="19"/>
      <c r="AJ7" s="19"/>
      <c r="AK7" s="19"/>
      <c r="AL7" s="19"/>
      <c r="AM7" s="13">
        <f t="shared" si="0"/>
        <v>22</v>
      </c>
      <c r="AN7" s="14">
        <f t="shared" si="1"/>
        <v>0</v>
      </c>
      <c r="AO7" s="15">
        <f t="shared" si="2"/>
        <v>0.6875</v>
      </c>
    </row>
    <row r="8" spans="1:41" ht="15" customHeight="1" x14ac:dyDescent="0.25">
      <c r="A8" s="9">
        <v>3</v>
      </c>
      <c r="B8" s="10" t="s">
        <v>65</v>
      </c>
      <c r="C8" s="10" t="s">
        <v>66</v>
      </c>
      <c r="D8" s="11" t="s">
        <v>67</v>
      </c>
      <c r="E8" s="11">
        <v>1</v>
      </c>
      <c r="F8" s="11">
        <f>IFERROR(ROUND(_xlfn.XLOOKUP(B8&amp;" "&amp;C8,'Examen 1'!B$2:B$27,'Examen 1'!E$2:E$27,0)/100*5,1),0)</f>
        <v>3.3</v>
      </c>
      <c r="G8" s="19" t="s">
        <v>145</v>
      </c>
      <c r="H8" s="19" t="s">
        <v>145</v>
      </c>
      <c r="I8" s="19" t="s">
        <v>145</v>
      </c>
      <c r="J8" s="19" t="s">
        <v>145</v>
      </c>
      <c r="K8" s="19" t="s">
        <v>145</v>
      </c>
      <c r="L8" s="19" t="s">
        <v>145</v>
      </c>
      <c r="M8" s="19" t="s">
        <v>145</v>
      </c>
      <c r="N8" s="19" t="s">
        <v>145</v>
      </c>
      <c r="O8" s="19" t="s">
        <v>145</v>
      </c>
      <c r="P8" s="19" t="s">
        <v>145</v>
      </c>
      <c r="Q8" s="19" t="s">
        <v>145</v>
      </c>
      <c r="R8" s="19" t="s">
        <v>145</v>
      </c>
      <c r="S8" s="19" t="s">
        <v>145</v>
      </c>
      <c r="T8" s="19" t="s">
        <v>145</v>
      </c>
      <c r="U8" s="19" t="s">
        <v>145</v>
      </c>
      <c r="V8" s="19" t="s">
        <v>145</v>
      </c>
      <c r="W8" s="19" t="s">
        <v>145</v>
      </c>
      <c r="X8" s="19" t="s">
        <v>146</v>
      </c>
      <c r="Y8" s="19" t="s">
        <v>146</v>
      </c>
      <c r="Z8" s="19" t="s">
        <v>146</v>
      </c>
      <c r="AA8" s="12" t="s">
        <v>145</v>
      </c>
      <c r="AB8" s="12" t="s">
        <v>145</v>
      </c>
      <c r="AC8" s="12" t="s">
        <v>145</v>
      </c>
      <c r="AD8" s="12" t="s">
        <v>145</v>
      </c>
      <c r="AE8" s="12" t="s">
        <v>145</v>
      </c>
      <c r="AF8" s="12"/>
      <c r="AG8" s="23"/>
      <c r="AH8" s="12"/>
      <c r="AI8" s="12"/>
      <c r="AJ8" s="12"/>
      <c r="AK8" s="12"/>
      <c r="AL8" s="12"/>
      <c r="AM8" s="13">
        <f t="shared" si="0"/>
        <v>22</v>
      </c>
      <c r="AN8" s="14">
        <f t="shared" si="1"/>
        <v>0</v>
      </c>
      <c r="AO8" s="15">
        <f t="shared" si="2"/>
        <v>0.6875</v>
      </c>
    </row>
    <row r="9" spans="1:41" ht="15" customHeight="1" x14ac:dyDescent="0.25">
      <c r="A9" s="16">
        <v>4</v>
      </c>
      <c r="B9" s="17" t="s">
        <v>68</v>
      </c>
      <c r="C9" s="17" t="s">
        <v>69</v>
      </c>
      <c r="D9" s="18" t="s">
        <v>70</v>
      </c>
      <c r="E9" s="18"/>
      <c r="F9" s="11">
        <f>IFERROR(ROUND(_xlfn.XLOOKUP(B9&amp;" "&amp;C9,'Examen 1'!B$2:B$27,'Examen 1'!E$2:E$27,0)/100*5,1),0)</f>
        <v>5</v>
      </c>
      <c r="G9" s="19" t="s">
        <v>145</v>
      </c>
      <c r="H9" s="19" t="s">
        <v>145</v>
      </c>
      <c r="I9" s="19" t="s">
        <v>145</v>
      </c>
      <c r="J9" s="19" t="s">
        <v>145</v>
      </c>
      <c r="K9" s="19" t="s">
        <v>145</v>
      </c>
      <c r="L9" s="19" t="s">
        <v>145</v>
      </c>
      <c r="M9" s="19" t="s">
        <v>145</v>
      </c>
      <c r="N9" s="19" t="s">
        <v>145</v>
      </c>
      <c r="O9" s="19" t="s">
        <v>145</v>
      </c>
      <c r="P9" s="19" t="s">
        <v>145</v>
      </c>
      <c r="Q9" s="19" t="s">
        <v>145</v>
      </c>
      <c r="R9" s="19" t="s">
        <v>145</v>
      </c>
      <c r="S9" s="19" t="s">
        <v>145</v>
      </c>
      <c r="T9" s="19" t="s">
        <v>145</v>
      </c>
      <c r="U9" s="19" t="s">
        <v>145</v>
      </c>
      <c r="V9" s="19" t="s">
        <v>145</v>
      </c>
      <c r="W9" s="19" t="s">
        <v>145</v>
      </c>
      <c r="X9" s="19" t="s">
        <v>146</v>
      </c>
      <c r="Y9" s="19" t="s">
        <v>146</v>
      </c>
      <c r="Z9" s="19" t="s">
        <v>146</v>
      </c>
      <c r="AA9" s="12" t="s">
        <v>145</v>
      </c>
      <c r="AB9" s="19" t="s">
        <v>145</v>
      </c>
      <c r="AC9" s="12" t="s">
        <v>145</v>
      </c>
      <c r="AD9" s="12" t="s">
        <v>145</v>
      </c>
      <c r="AE9" s="12" t="s">
        <v>145</v>
      </c>
      <c r="AF9" s="19"/>
      <c r="AG9" s="24"/>
      <c r="AH9" s="19"/>
      <c r="AI9" s="19"/>
      <c r="AJ9" s="19"/>
      <c r="AK9" s="19"/>
      <c r="AL9" s="19"/>
      <c r="AM9" s="13">
        <f t="shared" si="0"/>
        <v>22</v>
      </c>
      <c r="AN9" s="14">
        <f t="shared" si="1"/>
        <v>0</v>
      </c>
      <c r="AO9" s="15">
        <f t="shared" si="2"/>
        <v>0.6875</v>
      </c>
    </row>
    <row r="10" spans="1:41" ht="15" customHeight="1" x14ac:dyDescent="0.25">
      <c r="A10" s="9">
        <v>5</v>
      </c>
      <c r="B10" s="10" t="s">
        <v>71</v>
      </c>
      <c r="C10" s="10" t="s">
        <v>72</v>
      </c>
      <c r="D10" s="11" t="s">
        <v>73</v>
      </c>
      <c r="E10" s="11">
        <v>1.5</v>
      </c>
      <c r="F10" s="11">
        <f>IFERROR(ROUND(_xlfn.XLOOKUP(B10&amp;" "&amp;C10,'Examen 1'!B$2:B$27,'Examen 1'!E$2:E$27,0)/100*5,1),0)</f>
        <v>4.3</v>
      </c>
      <c r="G10" s="19" t="s">
        <v>145</v>
      </c>
      <c r="H10" s="19" t="s">
        <v>145</v>
      </c>
      <c r="I10" s="19" t="s">
        <v>145</v>
      </c>
      <c r="J10" s="19" t="s">
        <v>145</v>
      </c>
      <c r="K10" s="19" t="s">
        <v>145</v>
      </c>
      <c r="L10" s="19" t="s">
        <v>145</v>
      </c>
      <c r="M10" s="19" t="s">
        <v>145</v>
      </c>
      <c r="N10" s="19" t="s">
        <v>145</v>
      </c>
      <c r="O10" s="19" t="s">
        <v>145</v>
      </c>
      <c r="P10" s="19" t="s">
        <v>145</v>
      </c>
      <c r="Q10" s="19" t="s">
        <v>145</v>
      </c>
      <c r="R10" s="19" t="s">
        <v>145</v>
      </c>
      <c r="S10" s="19" t="s">
        <v>145</v>
      </c>
      <c r="T10" s="19" t="s">
        <v>145</v>
      </c>
      <c r="U10" s="19" t="s">
        <v>145</v>
      </c>
      <c r="V10" s="19" t="s">
        <v>145</v>
      </c>
      <c r="W10" s="19" t="s">
        <v>145</v>
      </c>
      <c r="X10" s="19" t="s">
        <v>146</v>
      </c>
      <c r="Y10" s="19" t="s">
        <v>146</v>
      </c>
      <c r="Z10" s="19" t="s">
        <v>146</v>
      </c>
      <c r="AA10" s="12" t="s">
        <v>145</v>
      </c>
      <c r="AB10" s="12" t="s">
        <v>145</v>
      </c>
      <c r="AC10" s="12" t="s">
        <v>145</v>
      </c>
      <c r="AD10" s="12" t="s">
        <v>145</v>
      </c>
      <c r="AE10" s="12" t="s">
        <v>145</v>
      </c>
      <c r="AF10" s="12"/>
      <c r="AG10" s="23"/>
      <c r="AH10" s="12"/>
      <c r="AI10" s="12"/>
      <c r="AJ10" s="12"/>
      <c r="AK10" s="12"/>
      <c r="AL10" s="12"/>
      <c r="AM10" s="13">
        <f t="shared" si="0"/>
        <v>22</v>
      </c>
      <c r="AN10" s="14">
        <f t="shared" si="1"/>
        <v>0</v>
      </c>
      <c r="AO10" s="15">
        <f t="shared" si="2"/>
        <v>0.6875</v>
      </c>
    </row>
    <row r="11" spans="1:41" ht="15" customHeight="1" x14ac:dyDescent="0.25">
      <c r="A11" s="16">
        <v>6</v>
      </c>
      <c r="B11" s="17" t="s">
        <v>74</v>
      </c>
      <c r="C11" s="17" t="s">
        <v>75</v>
      </c>
      <c r="D11" s="18" t="s">
        <v>76</v>
      </c>
      <c r="E11" s="18"/>
      <c r="F11" s="11">
        <f>IFERROR(ROUND(_xlfn.XLOOKUP(B11&amp;" "&amp;C11,'Examen 1'!B$2:B$28,'Examen 1'!E$2:E$28,0)/100*5,1),0)</f>
        <v>5</v>
      </c>
      <c r="G11" s="19" t="s">
        <v>145</v>
      </c>
      <c r="H11" s="19" t="s">
        <v>145</v>
      </c>
      <c r="I11" s="19" t="s">
        <v>145</v>
      </c>
      <c r="J11" s="19" t="s">
        <v>145</v>
      </c>
      <c r="K11" s="19" t="s">
        <v>145</v>
      </c>
      <c r="L11" s="19" t="s">
        <v>145</v>
      </c>
      <c r="M11" s="19" t="s">
        <v>145</v>
      </c>
      <c r="N11" s="19" t="s">
        <v>145</v>
      </c>
      <c r="O11" s="19" t="s">
        <v>145</v>
      </c>
      <c r="P11" s="19" t="s">
        <v>145</v>
      </c>
      <c r="Q11" s="19" t="s">
        <v>145</v>
      </c>
      <c r="R11" s="19" t="s">
        <v>145</v>
      </c>
      <c r="S11" s="19" t="s">
        <v>145</v>
      </c>
      <c r="T11" s="19" t="s">
        <v>145</v>
      </c>
      <c r="U11" s="19" t="s">
        <v>145</v>
      </c>
      <c r="V11" s="19" t="s">
        <v>145</v>
      </c>
      <c r="W11" s="19" t="s">
        <v>145</v>
      </c>
      <c r="X11" s="19" t="s">
        <v>146</v>
      </c>
      <c r="Y11" s="19" t="s">
        <v>146</v>
      </c>
      <c r="Z11" s="19" t="s">
        <v>146</v>
      </c>
      <c r="AA11" s="12" t="s">
        <v>145</v>
      </c>
      <c r="AB11" s="19" t="s">
        <v>145</v>
      </c>
      <c r="AC11" s="12" t="s">
        <v>145</v>
      </c>
      <c r="AD11" s="12" t="s">
        <v>145</v>
      </c>
      <c r="AE11" s="12" t="s">
        <v>145</v>
      </c>
      <c r="AF11" s="19"/>
      <c r="AG11" s="24"/>
      <c r="AH11" s="19"/>
      <c r="AI11" s="19"/>
      <c r="AJ11" s="19"/>
      <c r="AK11" s="19"/>
      <c r="AL11" s="19"/>
      <c r="AM11" s="13">
        <f t="shared" si="0"/>
        <v>22</v>
      </c>
      <c r="AN11" s="14">
        <f t="shared" si="1"/>
        <v>0</v>
      </c>
      <c r="AO11" s="15">
        <f t="shared" si="2"/>
        <v>0.6875</v>
      </c>
    </row>
    <row r="12" spans="1:41" ht="15" customHeight="1" x14ac:dyDescent="0.25">
      <c r="A12" s="9">
        <v>7</v>
      </c>
      <c r="B12" s="10" t="s">
        <v>77</v>
      </c>
      <c r="C12" s="10" t="s">
        <v>78</v>
      </c>
      <c r="D12" s="11" t="s">
        <v>79</v>
      </c>
      <c r="E12" s="11">
        <v>1</v>
      </c>
      <c r="F12" s="11">
        <f>IFERROR(ROUND(_xlfn.XLOOKUP(B12&amp;" "&amp;C12,'Examen 1'!B$2:B$27,'Examen 1'!E$2:E$27,0)/100*5,1),0)</f>
        <v>5</v>
      </c>
      <c r="G12" s="19" t="s">
        <v>145</v>
      </c>
      <c r="H12" s="19" t="s">
        <v>145</v>
      </c>
      <c r="I12" s="19" t="s">
        <v>145</v>
      </c>
      <c r="J12" s="19" t="s">
        <v>145</v>
      </c>
      <c r="K12" s="19" t="s">
        <v>145</v>
      </c>
      <c r="L12" s="19" t="s">
        <v>145</v>
      </c>
      <c r="M12" s="19" t="s">
        <v>145</v>
      </c>
      <c r="N12" s="19" t="s">
        <v>145</v>
      </c>
      <c r="O12" s="19" t="s">
        <v>145</v>
      </c>
      <c r="P12" s="19" t="s">
        <v>145</v>
      </c>
      <c r="Q12" s="19" t="s">
        <v>145</v>
      </c>
      <c r="R12" s="19" t="s">
        <v>145</v>
      </c>
      <c r="S12" s="19" t="s">
        <v>145</v>
      </c>
      <c r="T12" s="19" t="s">
        <v>145</v>
      </c>
      <c r="U12" s="19" t="s">
        <v>145</v>
      </c>
      <c r="V12" s="19" t="s">
        <v>145</v>
      </c>
      <c r="W12" s="19" t="s">
        <v>145</v>
      </c>
      <c r="X12" s="19" t="s">
        <v>146</v>
      </c>
      <c r="Y12" s="19" t="s">
        <v>146</v>
      </c>
      <c r="Z12" s="19" t="s">
        <v>146</v>
      </c>
      <c r="AA12" s="12" t="s">
        <v>145</v>
      </c>
      <c r="AB12" s="12" t="s">
        <v>145</v>
      </c>
      <c r="AC12" s="12" t="s">
        <v>145</v>
      </c>
      <c r="AD12" s="12" t="s">
        <v>145</v>
      </c>
      <c r="AE12" s="12" t="s">
        <v>145</v>
      </c>
      <c r="AF12" s="12"/>
      <c r="AG12" s="23"/>
      <c r="AH12" s="12"/>
      <c r="AI12" s="12"/>
      <c r="AJ12" s="12"/>
      <c r="AK12" s="12"/>
      <c r="AL12" s="12"/>
      <c r="AM12" s="13">
        <f t="shared" si="0"/>
        <v>22</v>
      </c>
      <c r="AN12" s="14">
        <f t="shared" si="1"/>
        <v>0</v>
      </c>
      <c r="AO12" s="15">
        <f t="shared" si="2"/>
        <v>0.6875</v>
      </c>
    </row>
    <row r="13" spans="1:41" ht="15" customHeight="1" x14ac:dyDescent="0.25">
      <c r="A13" s="16">
        <v>8</v>
      </c>
      <c r="B13" s="17" t="s">
        <v>80</v>
      </c>
      <c r="C13" s="17" t="s">
        <v>81</v>
      </c>
      <c r="D13" s="18" t="s">
        <v>82</v>
      </c>
      <c r="E13" s="18"/>
      <c r="F13" s="11">
        <f>IFERROR(ROUND(_xlfn.XLOOKUP(B13&amp;" "&amp;C13,'Examen 1'!B$2:B$27,'Examen 1'!E$2:E$27,0)/100*5,1),0)</f>
        <v>4.4000000000000004</v>
      </c>
      <c r="G13" s="19" t="s">
        <v>145</v>
      </c>
      <c r="H13" s="19" t="s">
        <v>145</v>
      </c>
      <c r="I13" s="19" t="s">
        <v>145</v>
      </c>
      <c r="J13" s="19" t="s">
        <v>145</v>
      </c>
      <c r="K13" s="19" t="s">
        <v>145</v>
      </c>
      <c r="L13" s="19" t="s">
        <v>145</v>
      </c>
      <c r="M13" s="19" t="s">
        <v>145</v>
      </c>
      <c r="N13" s="19" t="s">
        <v>145</v>
      </c>
      <c r="O13" s="19" t="s">
        <v>145</v>
      </c>
      <c r="P13" s="19" t="s">
        <v>145</v>
      </c>
      <c r="Q13" s="19" t="s">
        <v>145</v>
      </c>
      <c r="R13" s="19" t="s">
        <v>145</v>
      </c>
      <c r="S13" s="19" t="s">
        <v>145</v>
      </c>
      <c r="T13" s="19" t="s">
        <v>145</v>
      </c>
      <c r="U13" s="19" t="s">
        <v>145</v>
      </c>
      <c r="V13" s="19" t="s">
        <v>145</v>
      </c>
      <c r="W13" s="19" t="s">
        <v>145</v>
      </c>
      <c r="X13" s="19" t="s">
        <v>146</v>
      </c>
      <c r="Y13" s="19" t="s">
        <v>146</v>
      </c>
      <c r="Z13" s="19" t="s">
        <v>146</v>
      </c>
      <c r="AA13" s="12" t="s">
        <v>145</v>
      </c>
      <c r="AB13" s="19" t="s">
        <v>145</v>
      </c>
      <c r="AC13" s="12" t="s">
        <v>145</v>
      </c>
      <c r="AD13" s="12" t="s">
        <v>145</v>
      </c>
      <c r="AE13" s="12" t="s">
        <v>145</v>
      </c>
      <c r="AF13" s="19"/>
      <c r="AG13" s="24"/>
      <c r="AH13" s="19"/>
      <c r="AI13" s="19"/>
      <c r="AJ13" s="19"/>
      <c r="AK13" s="19"/>
      <c r="AL13" s="19"/>
      <c r="AM13" s="13">
        <f t="shared" si="0"/>
        <v>22</v>
      </c>
      <c r="AN13" s="14">
        <f t="shared" si="1"/>
        <v>0</v>
      </c>
      <c r="AO13" s="15">
        <f t="shared" si="2"/>
        <v>0.6875</v>
      </c>
    </row>
    <row r="14" spans="1:41" ht="15" customHeight="1" x14ac:dyDescent="0.25">
      <c r="A14" s="9">
        <v>9</v>
      </c>
      <c r="B14" s="10" t="s">
        <v>83</v>
      </c>
      <c r="C14" s="10" t="s">
        <v>84</v>
      </c>
      <c r="D14" s="11" t="s">
        <v>85</v>
      </c>
      <c r="E14" s="11"/>
      <c r="F14" s="11">
        <f>IFERROR(ROUND(_xlfn.XLOOKUP(B14&amp;" "&amp;C14,'Examen 1'!B$2:B$27,'Examen 1'!E$2:E$27,0)/100*5,1),0)</f>
        <v>5</v>
      </c>
      <c r="G14" s="19" t="s">
        <v>145</v>
      </c>
      <c r="H14" s="19" t="s">
        <v>145</v>
      </c>
      <c r="I14" s="19" t="s">
        <v>145</v>
      </c>
      <c r="J14" s="19" t="s">
        <v>145</v>
      </c>
      <c r="K14" s="19" t="s">
        <v>145</v>
      </c>
      <c r="L14" s="19" t="s">
        <v>145</v>
      </c>
      <c r="M14" s="19" t="s">
        <v>145</v>
      </c>
      <c r="N14" s="19" t="s">
        <v>145</v>
      </c>
      <c r="O14" s="19" t="s">
        <v>145</v>
      </c>
      <c r="P14" s="19" t="s">
        <v>145</v>
      </c>
      <c r="Q14" s="19" t="s">
        <v>145</v>
      </c>
      <c r="R14" s="19" t="s">
        <v>145</v>
      </c>
      <c r="S14" s="19" t="s">
        <v>145</v>
      </c>
      <c r="T14" s="19" t="s">
        <v>145</v>
      </c>
      <c r="U14" s="19" t="s">
        <v>145</v>
      </c>
      <c r="V14" s="19" t="s">
        <v>145</v>
      </c>
      <c r="W14" s="19" t="s">
        <v>145</v>
      </c>
      <c r="X14" s="19" t="s">
        <v>146</v>
      </c>
      <c r="Y14" s="19" t="s">
        <v>146</v>
      </c>
      <c r="Z14" s="19" t="s">
        <v>146</v>
      </c>
      <c r="AA14" s="12" t="s">
        <v>145</v>
      </c>
      <c r="AB14" s="12" t="s">
        <v>145</v>
      </c>
      <c r="AC14" s="12" t="s">
        <v>145</v>
      </c>
      <c r="AD14" s="12" t="s">
        <v>145</v>
      </c>
      <c r="AE14" s="12" t="s">
        <v>145</v>
      </c>
      <c r="AF14" s="12"/>
      <c r="AG14" s="23"/>
      <c r="AH14" s="12"/>
      <c r="AI14" s="12"/>
      <c r="AJ14" s="12"/>
      <c r="AK14" s="12"/>
      <c r="AL14" s="12"/>
      <c r="AM14" s="13">
        <f t="shared" si="0"/>
        <v>22</v>
      </c>
      <c r="AN14" s="14">
        <f t="shared" si="1"/>
        <v>0</v>
      </c>
      <c r="AO14" s="15">
        <f t="shared" si="2"/>
        <v>0.6875</v>
      </c>
    </row>
    <row r="15" spans="1:41" ht="15" customHeight="1" x14ac:dyDescent="0.25">
      <c r="A15" s="16">
        <v>10</v>
      </c>
      <c r="B15" s="17" t="s">
        <v>86</v>
      </c>
      <c r="C15" s="17" t="s">
        <v>87</v>
      </c>
      <c r="D15" s="18" t="s">
        <v>88</v>
      </c>
      <c r="E15" s="18">
        <v>1</v>
      </c>
      <c r="F15" s="11">
        <f>IFERROR(ROUND(_xlfn.XLOOKUP(B15&amp;" "&amp;C15,'Examen 1'!B$2:B$27,'Examen 1'!E$2:E$27,0)/100*5,1),0)</f>
        <v>5</v>
      </c>
      <c r="G15" s="19" t="s">
        <v>145</v>
      </c>
      <c r="H15" s="19" t="s">
        <v>145</v>
      </c>
      <c r="I15" s="19" t="s">
        <v>145</v>
      </c>
      <c r="J15" s="19" t="s">
        <v>145</v>
      </c>
      <c r="K15" s="19" t="s">
        <v>145</v>
      </c>
      <c r="L15" s="19" t="s">
        <v>145</v>
      </c>
      <c r="M15" s="19" t="s">
        <v>145</v>
      </c>
      <c r="N15" s="19" t="s">
        <v>145</v>
      </c>
      <c r="O15" s="19" t="s">
        <v>145</v>
      </c>
      <c r="P15" s="19" t="s">
        <v>145</v>
      </c>
      <c r="Q15" s="19" t="s">
        <v>145</v>
      </c>
      <c r="R15" s="19" t="s">
        <v>145</v>
      </c>
      <c r="S15" s="19" t="s">
        <v>145</v>
      </c>
      <c r="T15" s="19" t="s">
        <v>145</v>
      </c>
      <c r="U15" s="19" t="s">
        <v>145</v>
      </c>
      <c r="V15" s="19" t="s">
        <v>145</v>
      </c>
      <c r="W15" s="19" t="s">
        <v>145</v>
      </c>
      <c r="X15" s="19" t="s">
        <v>146</v>
      </c>
      <c r="Y15" s="19" t="s">
        <v>146</v>
      </c>
      <c r="Z15" s="19" t="s">
        <v>146</v>
      </c>
      <c r="AA15" s="12" t="s">
        <v>145</v>
      </c>
      <c r="AB15" s="19" t="s">
        <v>145</v>
      </c>
      <c r="AC15" s="12" t="s">
        <v>145</v>
      </c>
      <c r="AD15" s="12" t="s">
        <v>145</v>
      </c>
      <c r="AE15" s="12" t="s">
        <v>145</v>
      </c>
      <c r="AF15" s="19"/>
      <c r="AG15" s="24"/>
      <c r="AH15" s="19"/>
      <c r="AI15" s="19"/>
      <c r="AJ15" s="19"/>
      <c r="AK15" s="19"/>
      <c r="AL15" s="19"/>
      <c r="AM15" s="13">
        <f t="shared" si="0"/>
        <v>22</v>
      </c>
      <c r="AN15" s="14">
        <f t="shared" si="1"/>
        <v>0</v>
      </c>
      <c r="AO15" s="15">
        <f t="shared" si="2"/>
        <v>0.6875</v>
      </c>
    </row>
    <row r="16" spans="1:41" ht="15" customHeight="1" x14ac:dyDescent="0.25">
      <c r="A16" s="9">
        <v>11</v>
      </c>
      <c r="B16" s="10" t="s">
        <v>89</v>
      </c>
      <c r="C16" s="10" t="s">
        <v>90</v>
      </c>
      <c r="D16" s="11" t="s">
        <v>91</v>
      </c>
      <c r="E16" s="11"/>
      <c r="F16" s="11">
        <f>IFERROR(ROUND(_xlfn.XLOOKUP(B16&amp;" "&amp;C16,'Examen 1'!B$2:B$27,'Examen 1'!E$2:E$27,0)/100*5,1),0)</f>
        <v>2.7</v>
      </c>
      <c r="G16" s="19" t="s">
        <v>145</v>
      </c>
      <c r="H16" s="19" t="s">
        <v>145</v>
      </c>
      <c r="I16" s="19" t="s">
        <v>145</v>
      </c>
      <c r="J16" s="19" t="s">
        <v>145</v>
      </c>
      <c r="K16" s="19" t="s">
        <v>145</v>
      </c>
      <c r="L16" s="19" t="s">
        <v>145</v>
      </c>
      <c r="M16" s="19" t="s">
        <v>145</v>
      </c>
      <c r="N16" s="19" t="s">
        <v>145</v>
      </c>
      <c r="O16" s="19" t="s">
        <v>145</v>
      </c>
      <c r="P16" s="19" t="s">
        <v>145</v>
      </c>
      <c r="Q16" s="19" t="s">
        <v>145</v>
      </c>
      <c r="R16" s="19" t="s">
        <v>145</v>
      </c>
      <c r="S16" s="19" t="s">
        <v>145</v>
      </c>
      <c r="T16" s="19" t="s">
        <v>145</v>
      </c>
      <c r="U16" s="19" t="s">
        <v>145</v>
      </c>
      <c r="V16" s="19" t="s">
        <v>145</v>
      </c>
      <c r="W16" s="19" t="s">
        <v>145</v>
      </c>
      <c r="X16" s="19" t="s">
        <v>146</v>
      </c>
      <c r="Y16" s="19" t="s">
        <v>146</v>
      </c>
      <c r="Z16" s="19" t="s">
        <v>146</v>
      </c>
      <c r="AA16" s="12" t="s">
        <v>145</v>
      </c>
      <c r="AB16" s="12" t="s">
        <v>145</v>
      </c>
      <c r="AC16" s="12" t="s">
        <v>145</v>
      </c>
      <c r="AD16" s="12" t="s">
        <v>145</v>
      </c>
      <c r="AE16" s="12" t="s">
        <v>145</v>
      </c>
      <c r="AF16" s="12"/>
      <c r="AG16" s="23"/>
      <c r="AH16" s="12"/>
      <c r="AI16" s="12"/>
      <c r="AJ16" s="12"/>
      <c r="AK16" s="12"/>
      <c r="AL16" s="12"/>
      <c r="AM16" s="13">
        <f t="shared" si="0"/>
        <v>22</v>
      </c>
      <c r="AN16" s="14">
        <f t="shared" si="1"/>
        <v>0</v>
      </c>
      <c r="AO16" s="15">
        <f t="shared" si="2"/>
        <v>0.6875</v>
      </c>
    </row>
    <row r="17" spans="1:41" ht="15" customHeight="1" x14ac:dyDescent="0.25">
      <c r="A17" s="16">
        <v>12</v>
      </c>
      <c r="B17" s="17" t="s">
        <v>92</v>
      </c>
      <c r="C17" s="17" t="s">
        <v>93</v>
      </c>
      <c r="D17" s="18" t="s">
        <v>94</v>
      </c>
      <c r="E17" s="18"/>
      <c r="F17" s="11">
        <f>IFERROR(ROUND(_xlfn.XLOOKUP(B17&amp;" "&amp;C17,'Examen 1'!B$2:B$27,'Examen 1'!E$2:E$27,0)/100*5,1),0)</f>
        <v>5</v>
      </c>
      <c r="G17" s="19" t="s">
        <v>145</v>
      </c>
      <c r="H17" s="19" t="s">
        <v>145</v>
      </c>
      <c r="I17" s="19" t="s">
        <v>145</v>
      </c>
      <c r="J17" s="19" t="s">
        <v>145</v>
      </c>
      <c r="K17" s="19" t="s">
        <v>145</v>
      </c>
      <c r="L17" s="19" t="s">
        <v>145</v>
      </c>
      <c r="M17" s="19" t="s">
        <v>145</v>
      </c>
      <c r="N17" s="19" t="s">
        <v>145</v>
      </c>
      <c r="O17" s="19" t="s">
        <v>145</v>
      </c>
      <c r="P17" s="19" t="s">
        <v>145</v>
      </c>
      <c r="Q17" s="19" t="s">
        <v>145</v>
      </c>
      <c r="R17" s="19" t="s">
        <v>145</v>
      </c>
      <c r="S17" s="19" t="s">
        <v>145</v>
      </c>
      <c r="T17" s="19" t="s">
        <v>145</v>
      </c>
      <c r="U17" s="19" t="s">
        <v>145</v>
      </c>
      <c r="V17" s="19" t="s">
        <v>145</v>
      </c>
      <c r="W17" s="19" t="s">
        <v>145</v>
      </c>
      <c r="X17" s="19" t="s">
        <v>146</v>
      </c>
      <c r="Y17" s="19" t="s">
        <v>146</v>
      </c>
      <c r="Z17" s="19" t="s">
        <v>146</v>
      </c>
      <c r="AA17" s="12" t="s">
        <v>145</v>
      </c>
      <c r="AB17" s="19" t="s">
        <v>145</v>
      </c>
      <c r="AC17" s="12" t="s">
        <v>145</v>
      </c>
      <c r="AD17" s="12" t="s">
        <v>145</v>
      </c>
      <c r="AE17" s="12" t="s">
        <v>145</v>
      </c>
      <c r="AF17" s="19"/>
      <c r="AG17" s="24"/>
      <c r="AH17" s="19"/>
      <c r="AI17" s="19"/>
      <c r="AJ17" s="19"/>
      <c r="AK17" s="19"/>
      <c r="AL17" s="19"/>
      <c r="AM17" s="13">
        <f t="shared" si="0"/>
        <v>22</v>
      </c>
      <c r="AN17" s="14">
        <f t="shared" si="1"/>
        <v>0</v>
      </c>
      <c r="AO17" s="15">
        <f t="shared" si="2"/>
        <v>0.6875</v>
      </c>
    </row>
    <row r="18" spans="1:41" ht="15" customHeight="1" x14ac:dyDescent="0.25">
      <c r="A18" s="9">
        <v>13</v>
      </c>
      <c r="B18" s="10" t="s">
        <v>95</v>
      </c>
      <c r="C18" s="10" t="s">
        <v>96</v>
      </c>
      <c r="D18" s="11" t="s">
        <v>97</v>
      </c>
      <c r="E18" s="11"/>
      <c r="F18" s="11">
        <f>IFERROR(ROUND(_xlfn.XLOOKUP(B18&amp;" "&amp;C18,'Examen 1'!B$2:B$27,'Examen 1'!E$2:E$27,0)/100*5,1),0)</f>
        <v>4.7</v>
      </c>
      <c r="G18" s="19" t="s">
        <v>145</v>
      </c>
      <c r="H18" s="19" t="s">
        <v>145</v>
      </c>
      <c r="I18" s="19" t="s">
        <v>145</v>
      </c>
      <c r="J18" s="19" t="s">
        <v>145</v>
      </c>
      <c r="K18" s="19" t="s">
        <v>145</v>
      </c>
      <c r="L18" s="19" t="s">
        <v>145</v>
      </c>
      <c r="M18" s="19" t="s">
        <v>145</v>
      </c>
      <c r="N18" s="19" t="s">
        <v>145</v>
      </c>
      <c r="O18" s="19" t="s">
        <v>145</v>
      </c>
      <c r="P18" s="19" t="s">
        <v>145</v>
      </c>
      <c r="Q18" s="19" t="s">
        <v>145</v>
      </c>
      <c r="R18" s="19" t="s">
        <v>145</v>
      </c>
      <c r="S18" s="19" t="s">
        <v>145</v>
      </c>
      <c r="T18" s="19" t="s">
        <v>145</v>
      </c>
      <c r="U18" s="19" t="s">
        <v>145</v>
      </c>
      <c r="V18" s="19" t="s">
        <v>145</v>
      </c>
      <c r="W18" s="19" t="s">
        <v>145</v>
      </c>
      <c r="X18" s="19" t="s">
        <v>146</v>
      </c>
      <c r="Y18" s="19" t="s">
        <v>146</v>
      </c>
      <c r="Z18" s="19" t="s">
        <v>146</v>
      </c>
      <c r="AA18" s="12" t="s">
        <v>145</v>
      </c>
      <c r="AB18" s="12" t="s">
        <v>145</v>
      </c>
      <c r="AC18" s="12" t="s">
        <v>145</v>
      </c>
      <c r="AD18" s="12" t="s">
        <v>145</v>
      </c>
      <c r="AE18" s="12" t="s">
        <v>145</v>
      </c>
      <c r="AF18" s="12"/>
      <c r="AG18" s="23"/>
      <c r="AH18" s="12"/>
      <c r="AI18" s="12"/>
      <c r="AJ18" s="12"/>
      <c r="AK18" s="12"/>
      <c r="AL18" s="12"/>
      <c r="AM18" s="13">
        <f t="shared" si="0"/>
        <v>22</v>
      </c>
      <c r="AN18" s="14">
        <f t="shared" si="1"/>
        <v>0</v>
      </c>
      <c r="AO18" s="15">
        <f t="shared" si="2"/>
        <v>0.6875</v>
      </c>
    </row>
    <row r="19" spans="1:41" ht="15" customHeight="1" x14ac:dyDescent="0.25">
      <c r="A19" s="16">
        <v>14</v>
      </c>
      <c r="B19" s="17" t="s">
        <v>98</v>
      </c>
      <c r="C19" s="17" t="s">
        <v>99</v>
      </c>
      <c r="D19" s="18" t="s">
        <v>100</v>
      </c>
      <c r="E19" s="18">
        <v>1</v>
      </c>
      <c r="F19" s="11">
        <f>IFERROR(ROUND(_xlfn.XLOOKUP(B19&amp;" "&amp;C19,'Examen 1'!B$2:B$27,'Examen 1'!E$2:E$27,0)/100*5,1),0)</f>
        <v>4.9000000000000004</v>
      </c>
      <c r="G19" s="19" t="s">
        <v>145</v>
      </c>
      <c r="H19" s="19" t="s">
        <v>145</v>
      </c>
      <c r="I19" s="19" t="s">
        <v>145</v>
      </c>
      <c r="J19" s="19" t="s">
        <v>145</v>
      </c>
      <c r="K19" s="19" t="s">
        <v>145</v>
      </c>
      <c r="L19" s="19" t="s">
        <v>145</v>
      </c>
      <c r="M19" s="19" t="s">
        <v>145</v>
      </c>
      <c r="N19" s="19" t="s">
        <v>145</v>
      </c>
      <c r="O19" s="19" t="s">
        <v>145</v>
      </c>
      <c r="P19" s="19" t="s">
        <v>145</v>
      </c>
      <c r="Q19" s="19" t="s">
        <v>145</v>
      </c>
      <c r="R19" s="19" t="s">
        <v>145</v>
      </c>
      <c r="S19" s="19" t="s">
        <v>145</v>
      </c>
      <c r="T19" s="19" t="s">
        <v>145</v>
      </c>
      <c r="U19" s="19" t="s">
        <v>145</v>
      </c>
      <c r="V19" s="19" t="s">
        <v>145</v>
      </c>
      <c r="W19" s="19" t="s">
        <v>145</v>
      </c>
      <c r="X19" s="19" t="s">
        <v>146</v>
      </c>
      <c r="Y19" s="19" t="s">
        <v>146</v>
      </c>
      <c r="Z19" s="19" t="s">
        <v>146</v>
      </c>
      <c r="AA19" s="12" t="s">
        <v>145</v>
      </c>
      <c r="AB19" s="19" t="s">
        <v>145</v>
      </c>
      <c r="AC19" s="12" t="s">
        <v>145</v>
      </c>
      <c r="AD19" s="12" t="s">
        <v>145</v>
      </c>
      <c r="AE19" s="12" t="s">
        <v>145</v>
      </c>
      <c r="AF19" s="19"/>
      <c r="AG19" s="24"/>
      <c r="AH19" s="19"/>
      <c r="AI19" s="19"/>
      <c r="AJ19" s="19"/>
      <c r="AK19" s="19"/>
      <c r="AL19" s="19"/>
      <c r="AM19" s="13">
        <f t="shared" si="0"/>
        <v>22</v>
      </c>
      <c r="AN19" s="14">
        <f t="shared" si="1"/>
        <v>0</v>
      </c>
      <c r="AO19" s="15">
        <f t="shared" si="2"/>
        <v>0.6875</v>
      </c>
    </row>
    <row r="20" spans="1:41" ht="15" customHeight="1" x14ac:dyDescent="0.25">
      <c r="A20" s="9">
        <v>15</v>
      </c>
      <c r="B20" s="10" t="s">
        <v>101</v>
      </c>
      <c r="C20" s="10" t="s">
        <v>102</v>
      </c>
      <c r="D20" s="11" t="s">
        <v>103</v>
      </c>
      <c r="E20" s="11"/>
      <c r="F20" s="11">
        <f>IFERROR(ROUND(_xlfn.XLOOKUP(B20&amp;" "&amp;C20,'Examen 1'!B$2:B$27,'Examen 1'!E$2:E$27,0)/100*5,1),0)</f>
        <v>4.8</v>
      </c>
      <c r="G20" s="19" t="s">
        <v>145</v>
      </c>
      <c r="H20" s="19" t="s">
        <v>145</v>
      </c>
      <c r="I20" s="19" t="s">
        <v>145</v>
      </c>
      <c r="J20" s="19" t="s">
        <v>145</v>
      </c>
      <c r="K20" s="19" t="s">
        <v>145</v>
      </c>
      <c r="L20" s="19" t="s">
        <v>145</v>
      </c>
      <c r="M20" s="19" t="s">
        <v>145</v>
      </c>
      <c r="N20" s="19" t="s">
        <v>145</v>
      </c>
      <c r="O20" s="19" t="s">
        <v>145</v>
      </c>
      <c r="P20" s="19" t="s">
        <v>145</v>
      </c>
      <c r="Q20" s="19" t="s">
        <v>145</v>
      </c>
      <c r="R20" s="19" t="s">
        <v>145</v>
      </c>
      <c r="S20" s="19" t="s">
        <v>145</v>
      </c>
      <c r="T20" s="19" t="s">
        <v>145</v>
      </c>
      <c r="U20" s="19" t="s">
        <v>145</v>
      </c>
      <c r="V20" s="19" t="s">
        <v>145</v>
      </c>
      <c r="W20" s="19" t="s">
        <v>145</v>
      </c>
      <c r="X20" s="19" t="s">
        <v>146</v>
      </c>
      <c r="Y20" s="19" t="s">
        <v>146</v>
      </c>
      <c r="Z20" s="19" t="s">
        <v>146</v>
      </c>
      <c r="AA20" s="12" t="s">
        <v>145</v>
      </c>
      <c r="AB20" s="12" t="s">
        <v>145</v>
      </c>
      <c r="AC20" s="12" t="s">
        <v>145</v>
      </c>
      <c r="AD20" s="12" t="s">
        <v>145</v>
      </c>
      <c r="AE20" s="12" t="s">
        <v>145</v>
      </c>
      <c r="AF20" s="12"/>
      <c r="AG20" s="23"/>
      <c r="AH20" s="12"/>
      <c r="AI20" s="12"/>
      <c r="AJ20" s="12"/>
      <c r="AK20" s="12"/>
      <c r="AL20" s="12"/>
      <c r="AM20" s="13">
        <f t="shared" si="0"/>
        <v>22</v>
      </c>
      <c r="AN20" s="14">
        <f t="shared" si="1"/>
        <v>0</v>
      </c>
      <c r="AO20" s="15">
        <f t="shared" si="2"/>
        <v>0.6875</v>
      </c>
    </row>
    <row r="21" spans="1:41" ht="15" customHeight="1" x14ac:dyDescent="0.25">
      <c r="A21" s="28">
        <v>16</v>
      </c>
      <c r="B21" s="29" t="s">
        <v>104</v>
      </c>
      <c r="C21" s="29" t="s">
        <v>105</v>
      </c>
      <c r="D21" s="30" t="s">
        <v>106</v>
      </c>
      <c r="E21" s="30"/>
      <c r="F21" s="30">
        <f>IFERROR(ROUND(_xlfn.XLOOKUP(B21&amp;" "&amp;C21,'Examen 1'!B$2:B$27,'Examen 1'!E$2:E$27,0)/100*5,1),0)</f>
        <v>5</v>
      </c>
      <c r="G21" s="31" t="s">
        <v>145</v>
      </c>
      <c r="H21" s="31" t="s">
        <v>145</v>
      </c>
      <c r="I21" s="31" t="s">
        <v>145</v>
      </c>
      <c r="J21" s="31" t="s">
        <v>145</v>
      </c>
      <c r="K21" s="31" t="s">
        <v>145</v>
      </c>
      <c r="L21" s="31" t="s">
        <v>145</v>
      </c>
      <c r="M21" s="31" t="s">
        <v>145</v>
      </c>
      <c r="N21" s="31" t="s">
        <v>145</v>
      </c>
      <c r="O21" s="31" t="s">
        <v>145</v>
      </c>
      <c r="P21" s="31" t="s">
        <v>145</v>
      </c>
      <c r="Q21" s="31" t="s">
        <v>145</v>
      </c>
      <c r="R21" s="31" t="s">
        <v>145</v>
      </c>
      <c r="S21" s="31" t="s">
        <v>145</v>
      </c>
      <c r="T21" s="31" t="s">
        <v>145</v>
      </c>
      <c r="U21" s="31" t="s">
        <v>145</v>
      </c>
      <c r="V21" s="31" t="s">
        <v>145</v>
      </c>
      <c r="W21" s="31" t="s">
        <v>145</v>
      </c>
      <c r="X21" s="31" t="s">
        <v>146</v>
      </c>
      <c r="Y21" s="31" t="s">
        <v>146</v>
      </c>
      <c r="Z21" s="31" t="s">
        <v>146</v>
      </c>
      <c r="AA21" s="31" t="s">
        <v>145</v>
      </c>
      <c r="AB21" s="31" t="s">
        <v>145</v>
      </c>
      <c r="AC21" s="31" t="s">
        <v>145</v>
      </c>
      <c r="AD21" s="31" t="s">
        <v>145</v>
      </c>
      <c r="AE21" s="12" t="s">
        <v>145</v>
      </c>
      <c r="AF21" s="31"/>
      <c r="AG21" s="33"/>
      <c r="AH21" s="31"/>
      <c r="AI21" s="31"/>
      <c r="AJ21" s="31"/>
      <c r="AK21" s="31"/>
      <c r="AL21" s="31"/>
      <c r="AM21" s="28">
        <f t="shared" si="0"/>
        <v>22</v>
      </c>
      <c r="AN21" s="28">
        <f t="shared" si="1"/>
        <v>0</v>
      </c>
      <c r="AO21" s="32">
        <f t="shared" si="2"/>
        <v>0.6875</v>
      </c>
    </row>
    <row r="22" spans="1:41" ht="15" customHeight="1" x14ac:dyDescent="0.25">
      <c r="A22" s="9">
        <v>17</v>
      </c>
      <c r="B22" s="10" t="s">
        <v>107</v>
      </c>
      <c r="C22" s="10" t="s">
        <v>108</v>
      </c>
      <c r="D22" s="11" t="s">
        <v>109</v>
      </c>
      <c r="E22" s="11"/>
      <c r="F22" s="11">
        <f>IFERROR(ROUND(_xlfn.XLOOKUP(B22&amp;" "&amp;C22,'Examen 1'!B$2:B$27,'Examen 1'!E$2:E$27,0)/100*5,1),0)</f>
        <v>4.8</v>
      </c>
      <c r="G22" s="19" t="s">
        <v>145</v>
      </c>
      <c r="H22" s="19" t="s">
        <v>145</v>
      </c>
      <c r="I22" s="19" t="s">
        <v>145</v>
      </c>
      <c r="J22" s="19" t="s">
        <v>145</v>
      </c>
      <c r="K22" s="19" t="s">
        <v>145</v>
      </c>
      <c r="L22" s="19" t="s">
        <v>145</v>
      </c>
      <c r="M22" s="19" t="s">
        <v>145</v>
      </c>
      <c r="N22" s="19" t="s">
        <v>145</v>
      </c>
      <c r="O22" s="19" t="s">
        <v>145</v>
      </c>
      <c r="P22" s="19" t="s">
        <v>145</v>
      </c>
      <c r="Q22" s="19" t="s">
        <v>145</v>
      </c>
      <c r="R22" s="19" t="s">
        <v>145</v>
      </c>
      <c r="S22" s="19" t="s">
        <v>145</v>
      </c>
      <c r="T22" s="19" t="s">
        <v>145</v>
      </c>
      <c r="U22" s="19" t="s">
        <v>145</v>
      </c>
      <c r="V22" s="19" t="s">
        <v>145</v>
      </c>
      <c r="W22" s="19" t="s">
        <v>145</v>
      </c>
      <c r="X22" s="19" t="s">
        <v>146</v>
      </c>
      <c r="Y22" s="19" t="s">
        <v>146</v>
      </c>
      <c r="Z22" s="19" t="s">
        <v>146</v>
      </c>
      <c r="AA22" s="12" t="s">
        <v>145</v>
      </c>
      <c r="AB22" s="12" t="s">
        <v>145</v>
      </c>
      <c r="AC22" s="12" t="s">
        <v>145</v>
      </c>
      <c r="AD22" s="12" t="s">
        <v>145</v>
      </c>
      <c r="AE22" s="12" t="s">
        <v>145</v>
      </c>
      <c r="AF22" s="12"/>
      <c r="AG22" s="23"/>
      <c r="AH22" s="12"/>
      <c r="AI22" s="12"/>
      <c r="AJ22" s="12"/>
      <c r="AK22" s="12"/>
      <c r="AL22" s="12"/>
      <c r="AM22" s="13">
        <f t="shared" si="0"/>
        <v>22</v>
      </c>
      <c r="AN22" s="14">
        <f t="shared" si="1"/>
        <v>0</v>
      </c>
      <c r="AO22" s="15">
        <f t="shared" si="2"/>
        <v>0.6875</v>
      </c>
    </row>
    <row r="23" spans="1:41" ht="15" customHeight="1" x14ac:dyDescent="0.25">
      <c r="A23" s="16">
        <v>18</v>
      </c>
      <c r="B23" s="17" t="s">
        <v>110</v>
      </c>
      <c r="C23" s="17" t="s">
        <v>111</v>
      </c>
      <c r="D23" s="18" t="s">
        <v>112</v>
      </c>
      <c r="E23" s="18"/>
      <c r="F23" s="11">
        <f>IFERROR(ROUND(_xlfn.XLOOKUP(B23&amp;" "&amp;C23,'Examen 1'!B$2:B$27,'Examen 1'!E$2:E$27,0)/100*5,1),0)</f>
        <v>5</v>
      </c>
      <c r="G23" s="19" t="s">
        <v>145</v>
      </c>
      <c r="H23" s="19" t="s">
        <v>145</v>
      </c>
      <c r="I23" s="19" t="s">
        <v>145</v>
      </c>
      <c r="J23" s="19" t="s">
        <v>145</v>
      </c>
      <c r="K23" s="19" t="s">
        <v>145</v>
      </c>
      <c r="L23" s="19" t="s">
        <v>145</v>
      </c>
      <c r="M23" s="19" t="s">
        <v>145</v>
      </c>
      <c r="N23" s="19" t="s">
        <v>145</v>
      </c>
      <c r="O23" s="19" t="s">
        <v>145</v>
      </c>
      <c r="P23" s="19" t="s">
        <v>145</v>
      </c>
      <c r="Q23" s="19" t="s">
        <v>145</v>
      </c>
      <c r="R23" s="19" t="s">
        <v>145</v>
      </c>
      <c r="S23" s="19" t="s">
        <v>145</v>
      </c>
      <c r="T23" s="19" t="s">
        <v>145</v>
      </c>
      <c r="U23" s="19" t="s">
        <v>145</v>
      </c>
      <c r="V23" s="19" t="s">
        <v>145</v>
      </c>
      <c r="W23" s="19" t="s">
        <v>145</v>
      </c>
      <c r="X23" s="19" t="s">
        <v>146</v>
      </c>
      <c r="Y23" s="19" t="s">
        <v>146</v>
      </c>
      <c r="Z23" s="19" t="s">
        <v>146</v>
      </c>
      <c r="AA23" s="12" t="s">
        <v>145</v>
      </c>
      <c r="AB23" s="19" t="s">
        <v>145</v>
      </c>
      <c r="AC23" s="12" t="s">
        <v>145</v>
      </c>
      <c r="AD23" s="12" t="s">
        <v>145</v>
      </c>
      <c r="AE23" s="12" t="s">
        <v>145</v>
      </c>
      <c r="AF23" s="19"/>
      <c r="AG23" s="24"/>
      <c r="AH23" s="19"/>
      <c r="AI23" s="19"/>
      <c r="AJ23" s="19"/>
      <c r="AK23" s="19"/>
      <c r="AL23" s="19"/>
      <c r="AM23" s="13">
        <f t="shared" si="0"/>
        <v>22</v>
      </c>
      <c r="AN23" s="14">
        <f t="shared" si="1"/>
        <v>0</v>
      </c>
      <c r="AO23" s="15">
        <f t="shared" si="2"/>
        <v>0.6875</v>
      </c>
    </row>
    <row r="24" spans="1:41" ht="15" customHeight="1" x14ac:dyDescent="0.25">
      <c r="A24" s="9">
        <v>19</v>
      </c>
      <c r="B24" s="10" t="s">
        <v>113</v>
      </c>
      <c r="C24" s="10" t="s">
        <v>114</v>
      </c>
      <c r="D24" s="11" t="s">
        <v>115</v>
      </c>
      <c r="E24" s="11"/>
      <c r="F24" s="11">
        <f>IFERROR(ROUND(_xlfn.XLOOKUP(B24&amp;" "&amp;C24,'Examen 1'!B$2:B$27,'Examen 1'!E$2:E$27,0)/100*5,1),0)</f>
        <v>5</v>
      </c>
      <c r="G24" s="19" t="s">
        <v>145</v>
      </c>
      <c r="H24" s="19" t="s">
        <v>145</v>
      </c>
      <c r="I24" s="19" t="s">
        <v>145</v>
      </c>
      <c r="J24" s="19" t="s">
        <v>145</v>
      </c>
      <c r="K24" s="19" t="s">
        <v>145</v>
      </c>
      <c r="L24" s="19" t="s">
        <v>145</v>
      </c>
      <c r="M24" s="19" t="s">
        <v>145</v>
      </c>
      <c r="N24" s="19" t="s">
        <v>145</v>
      </c>
      <c r="O24" s="19" t="s">
        <v>145</v>
      </c>
      <c r="P24" s="19" t="s">
        <v>145</v>
      </c>
      <c r="Q24" s="19" t="s">
        <v>145</v>
      </c>
      <c r="R24" s="19" t="s">
        <v>145</v>
      </c>
      <c r="S24" s="19" t="s">
        <v>145</v>
      </c>
      <c r="T24" s="19" t="s">
        <v>145</v>
      </c>
      <c r="U24" s="19" t="s">
        <v>145</v>
      </c>
      <c r="V24" s="19" t="s">
        <v>145</v>
      </c>
      <c r="W24" s="19" t="s">
        <v>145</v>
      </c>
      <c r="X24" s="19" t="s">
        <v>146</v>
      </c>
      <c r="Y24" s="19" t="s">
        <v>146</v>
      </c>
      <c r="Z24" s="19" t="s">
        <v>146</v>
      </c>
      <c r="AA24" s="12" t="s">
        <v>145</v>
      </c>
      <c r="AB24" s="12" t="s">
        <v>145</v>
      </c>
      <c r="AC24" s="12" t="s">
        <v>145</v>
      </c>
      <c r="AD24" s="12" t="s">
        <v>145</v>
      </c>
      <c r="AE24" s="12" t="s">
        <v>145</v>
      </c>
      <c r="AF24" s="12"/>
      <c r="AG24" s="23"/>
      <c r="AH24" s="12"/>
      <c r="AI24" s="12"/>
      <c r="AJ24" s="12"/>
      <c r="AK24" s="12"/>
      <c r="AL24" s="12"/>
      <c r="AM24" s="13">
        <f t="shared" si="0"/>
        <v>22</v>
      </c>
      <c r="AN24" s="14">
        <f t="shared" si="1"/>
        <v>0</v>
      </c>
      <c r="AO24" s="15">
        <f t="shared" si="2"/>
        <v>0.6875</v>
      </c>
    </row>
    <row r="25" spans="1:41" ht="15" customHeight="1" x14ac:dyDescent="0.25">
      <c r="A25" s="16">
        <v>20</v>
      </c>
      <c r="B25" s="17" t="s">
        <v>116</v>
      </c>
      <c r="C25" s="17" t="s">
        <v>117</v>
      </c>
      <c r="D25" s="18" t="s">
        <v>118</v>
      </c>
      <c r="E25" s="18"/>
      <c r="F25" s="11">
        <f>IFERROR(ROUND(_xlfn.XLOOKUP(B25&amp;" "&amp;C25,'Examen 1'!B$2:B$27,'Examen 1'!E$2:E$27,0)/100*5,1),0)</f>
        <v>5</v>
      </c>
      <c r="G25" s="19" t="s">
        <v>145</v>
      </c>
      <c r="H25" s="19" t="s">
        <v>145</v>
      </c>
      <c r="I25" s="19" t="s">
        <v>145</v>
      </c>
      <c r="J25" s="19" t="s">
        <v>145</v>
      </c>
      <c r="K25" s="19" t="s">
        <v>145</v>
      </c>
      <c r="L25" s="19" t="s">
        <v>145</v>
      </c>
      <c r="M25" s="19" t="s">
        <v>145</v>
      </c>
      <c r="N25" s="19" t="s">
        <v>145</v>
      </c>
      <c r="O25" s="19" t="s">
        <v>145</v>
      </c>
      <c r="P25" s="19" t="s">
        <v>145</v>
      </c>
      <c r="Q25" s="19" t="s">
        <v>145</v>
      </c>
      <c r="R25" s="19" t="s">
        <v>145</v>
      </c>
      <c r="S25" s="19" t="s">
        <v>145</v>
      </c>
      <c r="T25" s="19" t="s">
        <v>145</v>
      </c>
      <c r="U25" s="19" t="s">
        <v>145</v>
      </c>
      <c r="V25" s="19" t="s">
        <v>145</v>
      </c>
      <c r="W25" s="19" t="s">
        <v>145</v>
      </c>
      <c r="X25" s="19" t="s">
        <v>146</v>
      </c>
      <c r="Y25" s="19" t="s">
        <v>146</v>
      </c>
      <c r="Z25" s="19" t="s">
        <v>146</v>
      </c>
      <c r="AA25" s="12" t="s">
        <v>145</v>
      </c>
      <c r="AB25" s="19" t="s">
        <v>145</v>
      </c>
      <c r="AC25" s="12" t="s">
        <v>145</v>
      </c>
      <c r="AD25" s="12" t="s">
        <v>145</v>
      </c>
      <c r="AE25" s="12" t="s">
        <v>145</v>
      </c>
      <c r="AF25" s="19"/>
      <c r="AG25" s="24"/>
      <c r="AH25" s="19"/>
      <c r="AI25" s="19"/>
      <c r="AJ25" s="19"/>
      <c r="AK25" s="19"/>
      <c r="AL25" s="19"/>
      <c r="AM25" s="13">
        <f t="shared" si="0"/>
        <v>22</v>
      </c>
      <c r="AN25" s="14">
        <f t="shared" si="1"/>
        <v>0</v>
      </c>
      <c r="AO25" s="15">
        <f t="shared" si="2"/>
        <v>0.6875</v>
      </c>
    </row>
    <row r="26" spans="1:41" ht="15" customHeight="1" x14ac:dyDescent="0.25">
      <c r="A26" s="9">
        <v>21</v>
      </c>
      <c r="B26" s="10" t="s">
        <v>119</v>
      </c>
      <c r="C26" s="10" t="s">
        <v>120</v>
      </c>
      <c r="D26" s="11" t="s">
        <v>121</v>
      </c>
      <c r="E26" s="11"/>
      <c r="F26" s="11">
        <f>IFERROR(ROUND(_xlfn.XLOOKUP(B26&amp;" "&amp;C26,'Examen 1'!B$2:B$27,'Examen 1'!E$2:E$27,0)/100*5,1),0)</f>
        <v>5</v>
      </c>
      <c r="G26" s="19" t="s">
        <v>145</v>
      </c>
      <c r="H26" s="19" t="s">
        <v>145</v>
      </c>
      <c r="I26" s="19" t="s">
        <v>145</v>
      </c>
      <c r="J26" s="19" t="s">
        <v>145</v>
      </c>
      <c r="K26" s="19" t="s">
        <v>145</v>
      </c>
      <c r="L26" s="19" t="s">
        <v>145</v>
      </c>
      <c r="M26" s="19" t="s">
        <v>145</v>
      </c>
      <c r="N26" s="19" t="s">
        <v>145</v>
      </c>
      <c r="O26" s="19" t="s">
        <v>145</v>
      </c>
      <c r="P26" s="19" t="s">
        <v>145</v>
      </c>
      <c r="Q26" s="19" t="s">
        <v>145</v>
      </c>
      <c r="R26" s="19" t="s">
        <v>145</v>
      </c>
      <c r="S26" s="19" t="s">
        <v>145</v>
      </c>
      <c r="T26" s="19" t="s">
        <v>145</v>
      </c>
      <c r="U26" s="19" t="s">
        <v>145</v>
      </c>
      <c r="V26" s="19" t="s">
        <v>145</v>
      </c>
      <c r="W26" s="19" t="s">
        <v>145</v>
      </c>
      <c r="X26" s="19" t="s">
        <v>146</v>
      </c>
      <c r="Y26" s="19" t="s">
        <v>146</v>
      </c>
      <c r="Z26" s="19" t="s">
        <v>146</v>
      </c>
      <c r="AA26" s="12" t="s">
        <v>145</v>
      </c>
      <c r="AB26" s="12" t="s">
        <v>145</v>
      </c>
      <c r="AC26" s="12" t="s">
        <v>145</v>
      </c>
      <c r="AD26" s="12" t="s">
        <v>145</v>
      </c>
      <c r="AE26" s="12" t="s">
        <v>145</v>
      </c>
      <c r="AF26" s="12"/>
      <c r="AG26" s="23"/>
      <c r="AH26" s="12"/>
      <c r="AI26" s="12"/>
      <c r="AJ26" s="12"/>
      <c r="AK26" s="12"/>
      <c r="AL26" s="12"/>
      <c r="AM26" s="13">
        <f t="shared" si="0"/>
        <v>22</v>
      </c>
      <c r="AN26" s="14">
        <f t="shared" si="1"/>
        <v>0</v>
      </c>
      <c r="AO26" s="15">
        <f t="shared" si="2"/>
        <v>0.6875</v>
      </c>
    </row>
    <row r="27" spans="1:41" ht="15" customHeight="1" x14ac:dyDescent="0.25">
      <c r="A27" s="16">
        <v>22</v>
      </c>
      <c r="B27" s="17" t="s">
        <v>122</v>
      </c>
      <c r="C27" s="17" t="s">
        <v>123</v>
      </c>
      <c r="D27" s="18" t="s">
        <v>124</v>
      </c>
      <c r="E27" s="18">
        <v>2</v>
      </c>
      <c r="F27" s="11">
        <f>IFERROR(ROUND(_xlfn.XLOOKUP(B27&amp;" "&amp;C27,'Examen 1'!B$2:B$27,'Examen 1'!E$2:E$27,0)/100*5,1),0)</f>
        <v>3.1</v>
      </c>
      <c r="G27" s="19" t="s">
        <v>145</v>
      </c>
      <c r="H27" s="19" t="s">
        <v>145</v>
      </c>
      <c r="I27" s="19" t="s">
        <v>145</v>
      </c>
      <c r="J27" s="19" t="s">
        <v>145</v>
      </c>
      <c r="K27" s="19" t="s">
        <v>145</v>
      </c>
      <c r="L27" s="19" t="s">
        <v>145</v>
      </c>
      <c r="M27" s="19" t="s">
        <v>145</v>
      </c>
      <c r="N27" s="19" t="s">
        <v>145</v>
      </c>
      <c r="O27" s="19" t="s">
        <v>145</v>
      </c>
      <c r="P27" s="19" t="s">
        <v>145</v>
      </c>
      <c r="Q27" s="19" t="s">
        <v>145</v>
      </c>
      <c r="R27" s="19" t="s">
        <v>145</v>
      </c>
      <c r="S27" s="19" t="s">
        <v>145</v>
      </c>
      <c r="T27" s="19" t="s">
        <v>145</v>
      </c>
      <c r="U27" s="19" t="s">
        <v>145</v>
      </c>
      <c r="V27" s="19" t="s">
        <v>145</v>
      </c>
      <c r="W27" s="19" t="s">
        <v>145</v>
      </c>
      <c r="X27" s="19" t="s">
        <v>146</v>
      </c>
      <c r="Y27" s="19" t="s">
        <v>146</v>
      </c>
      <c r="Z27" s="19" t="s">
        <v>146</v>
      </c>
      <c r="AA27" s="12" t="s">
        <v>145</v>
      </c>
      <c r="AB27" s="19" t="s">
        <v>145</v>
      </c>
      <c r="AC27" s="12" t="s">
        <v>145</v>
      </c>
      <c r="AD27" s="12" t="s">
        <v>145</v>
      </c>
      <c r="AE27" s="12" t="s">
        <v>145</v>
      </c>
      <c r="AF27" s="19"/>
      <c r="AG27" s="24"/>
      <c r="AH27" s="19"/>
      <c r="AI27" s="19"/>
      <c r="AJ27" s="19"/>
      <c r="AK27" s="19"/>
      <c r="AL27" s="19"/>
      <c r="AM27" s="13">
        <f t="shared" si="0"/>
        <v>22</v>
      </c>
      <c r="AN27" s="14">
        <f t="shared" si="1"/>
        <v>0</v>
      </c>
      <c r="AO27" s="15">
        <f t="shared" si="2"/>
        <v>0.6875</v>
      </c>
    </row>
    <row r="28" spans="1:41" ht="15" customHeight="1" x14ac:dyDescent="0.25">
      <c r="A28" s="9">
        <v>23</v>
      </c>
      <c r="B28" s="10" t="s">
        <v>125</v>
      </c>
      <c r="C28" s="10" t="s">
        <v>126</v>
      </c>
      <c r="D28" s="11" t="s">
        <v>127</v>
      </c>
      <c r="E28" s="11"/>
      <c r="F28" s="11">
        <f>IFERROR(ROUND(_xlfn.XLOOKUP(B28&amp;" "&amp;C28,'Examen 1'!B$2:B$27,'Examen 1'!E$2:E$27,0)/100*5,1),0)</f>
        <v>5</v>
      </c>
      <c r="G28" s="19" t="s">
        <v>145</v>
      </c>
      <c r="H28" s="19" t="s">
        <v>145</v>
      </c>
      <c r="I28" s="19" t="s">
        <v>145</v>
      </c>
      <c r="J28" s="19" t="s">
        <v>145</v>
      </c>
      <c r="K28" s="19" t="s">
        <v>145</v>
      </c>
      <c r="L28" s="19" t="s">
        <v>145</v>
      </c>
      <c r="M28" s="19" t="s">
        <v>145</v>
      </c>
      <c r="N28" s="19" t="s">
        <v>145</v>
      </c>
      <c r="O28" s="19" t="s">
        <v>145</v>
      </c>
      <c r="P28" s="19" t="s">
        <v>145</v>
      </c>
      <c r="Q28" s="19" t="s">
        <v>145</v>
      </c>
      <c r="R28" s="19" t="s">
        <v>145</v>
      </c>
      <c r="S28" s="19" t="s">
        <v>145</v>
      </c>
      <c r="T28" s="19" t="s">
        <v>145</v>
      </c>
      <c r="U28" s="19" t="s">
        <v>145</v>
      </c>
      <c r="V28" s="19" t="s">
        <v>145</v>
      </c>
      <c r="W28" s="19" t="s">
        <v>145</v>
      </c>
      <c r="X28" s="19" t="s">
        <v>146</v>
      </c>
      <c r="Y28" s="19" t="s">
        <v>146</v>
      </c>
      <c r="Z28" s="19" t="s">
        <v>146</v>
      </c>
      <c r="AA28" s="12" t="s">
        <v>145</v>
      </c>
      <c r="AB28" s="12" t="s">
        <v>145</v>
      </c>
      <c r="AC28" s="12" t="s">
        <v>145</v>
      </c>
      <c r="AD28" s="12" t="s">
        <v>145</v>
      </c>
      <c r="AE28" s="12" t="s">
        <v>145</v>
      </c>
      <c r="AF28" s="12"/>
      <c r="AG28" s="23"/>
      <c r="AH28" s="12"/>
      <c r="AI28" s="12"/>
      <c r="AJ28" s="12"/>
      <c r="AK28" s="12"/>
      <c r="AL28" s="12"/>
      <c r="AM28" s="13">
        <f t="shared" si="0"/>
        <v>22</v>
      </c>
      <c r="AN28" s="14">
        <f t="shared" si="1"/>
        <v>0</v>
      </c>
      <c r="AO28" s="15">
        <f t="shared" si="2"/>
        <v>0.6875</v>
      </c>
    </row>
    <row r="29" spans="1:41" ht="15" customHeight="1" x14ac:dyDescent="0.25">
      <c r="A29" s="16">
        <v>24</v>
      </c>
      <c r="B29" s="17" t="s">
        <v>128</v>
      </c>
      <c r="C29" s="17" t="s">
        <v>129</v>
      </c>
      <c r="D29" s="18" t="s">
        <v>130</v>
      </c>
      <c r="E29" s="18">
        <v>1.5</v>
      </c>
      <c r="F29" s="11">
        <f>IFERROR(ROUND(_xlfn.XLOOKUP(B29&amp;" "&amp;C29,'Examen 1'!B$2:B$27,'Examen 1'!E$2:E$27,0)/100*5,1),0)</f>
        <v>3.2</v>
      </c>
      <c r="G29" s="19" t="s">
        <v>145</v>
      </c>
      <c r="H29" s="19" t="s">
        <v>145</v>
      </c>
      <c r="I29" s="19" t="s">
        <v>145</v>
      </c>
      <c r="J29" s="19" t="s">
        <v>145</v>
      </c>
      <c r="K29" s="19" t="s">
        <v>145</v>
      </c>
      <c r="L29" s="19" t="s">
        <v>145</v>
      </c>
      <c r="M29" s="19" t="s">
        <v>145</v>
      </c>
      <c r="N29" s="19" t="s">
        <v>145</v>
      </c>
      <c r="O29" s="19" t="s">
        <v>145</v>
      </c>
      <c r="P29" s="19" t="s">
        <v>145</v>
      </c>
      <c r="Q29" s="19" t="s">
        <v>145</v>
      </c>
      <c r="R29" s="19" t="s">
        <v>145</v>
      </c>
      <c r="S29" s="19" t="s">
        <v>145</v>
      </c>
      <c r="T29" s="19" t="s">
        <v>145</v>
      </c>
      <c r="U29" s="19" t="s">
        <v>145</v>
      </c>
      <c r="V29" s="19" t="s">
        <v>145</v>
      </c>
      <c r="W29" s="19" t="s">
        <v>145</v>
      </c>
      <c r="X29" s="19" t="s">
        <v>146</v>
      </c>
      <c r="Y29" s="19" t="s">
        <v>146</v>
      </c>
      <c r="Z29" s="19" t="s">
        <v>146</v>
      </c>
      <c r="AA29" s="12" t="s">
        <v>145</v>
      </c>
      <c r="AB29" s="19" t="s">
        <v>145</v>
      </c>
      <c r="AC29" s="12" t="s">
        <v>145</v>
      </c>
      <c r="AD29" s="12" t="s">
        <v>145</v>
      </c>
      <c r="AE29" s="12" t="s">
        <v>145</v>
      </c>
      <c r="AF29" s="19"/>
      <c r="AG29" s="24"/>
      <c r="AH29" s="19"/>
      <c r="AI29" s="19"/>
      <c r="AJ29" s="19"/>
      <c r="AK29" s="19"/>
      <c r="AL29" s="19"/>
      <c r="AM29" s="13">
        <f t="shared" si="0"/>
        <v>22</v>
      </c>
      <c r="AN29" s="14">
        <f t="shared" si="1"/>
        <v>0</v>
      </c>
      <c r="AO29" s="15">
        <f t="shared" si="2"/>
        <v>0.6875</v>
      </c>
    </row>
    <row r="30" spans="1:41" ht="15" customHeight="1" x14ac:dyDescent="0.25">
      <c r="A30" s="9">
        <v>25</v>
      </c>
      <c r="B30" s="10" t="s">
        <v>131</v>
      </c>
      <c r="C30" s="10" t="s">
        <v>132</v>
      </c>
      <c r="D30" s="11" t="s">
        <v>133</v>
      </c>
      <c r="E30" s="11">
        <v>1</v>
      </c>
      <c r="F30" s="11">
        <f>IFERROR(ROUND(_xlfn.XLOOKUP(B30&amp;" "&amp;C30,'Examen 1'!B$2:B$27,'Examen 1'!E$2:E$27,0)/100*5,1),0)</f>
        <v>4.5</v>
      </c>
      <c r="G30" s="19" t="s">
        <v>145</v>
      </c>
      <c r="H30" s="19" t="s">
        <v>145</v>
      </c>
      <c r="I30" s="19" t="s">
        <v>145</v>
      </c>
      <c r="J30" s="19" t="s">
        <v>145</v>
      </c>
      <c r="K30" s="19" t="s">
        <v>145</v>
      </c>
      <c r="L30" s="19" t="s">
        <v>145</v>
      </c>
      <c r="M30" s="19" t="s">
        <v>145</v>
      </c>
      <c r="N30" s="19" t="s">
        <v>145</v>
      </c>
      <c r="O30" s="19" t="s">
        <v>145</v>
      </c>
      <c r="P30" s="19" t="s">
        <v>145</v>
      </c>
      <c r="Q30" s="19" t="s">
        <v>145</v>
      </c>
      <c r="R30" s="19" t="s">
        <v>145</v>
      </c>
      <c r="S30" s="19" t="s">
        <v>145</v>
      </c>
      <c r="T30" s="19" t="s">
        <v>145</v>
      </c>
      <c r="U30" s="19" t="s">
        <v>145</v>
      </c>
      <c r="V30" s="19" t="s">
        <v>145</v>
      </c>
      <c r="W30" s="19" t="s">
        <v>145</v>
      </c>
      <c r="X30" s="19" t="s">
        <v>146</v>
      </c>
      <c r="Y30" s="19" t="s">
        <v>146</v>
      </c>
      <c r="Z30" s="19" t="s">
        <v>146</v>
      </c>
      <c r="AA30" s="12" t="s">
        <v>145</v>
      </c>
      <c r="AB30" s="12" t="s">
        <v>145</v>
      </c>
      <c r="AC30" s="12" t="s">
        <v>145</v>
      </c>
      <c r="AD30" s="12" t="s">
        <v>145</v>
      </c>
      <c r="AE30" s="12" t="s">
        <v>145</v>
      </c>
      <c r="AF30" s="12"/>
      <c r="AG30" s="23"/>
      <c r="AH30" s="12"/>
      <c r="AI30" s="12"/>
      <c r="AJ30" s="12"/>
      <c r="AK30" s="12"/>
      <c r="AL30" s="12"/>
      <c r="AM30" s="13">
        <f t="shared" si="0"/>
        <v>22</v>
      </c>
      <c r="AN30" s="14">
        <f t="shared" si="1"/>
        <v>0</v>
      </c>
      <c r="AO30" s="15">
        <f t="shared" si="2"/>
        <v>0.6875</v>
      </c>
    </row>
    <row r="31" spans="1:41" ht="15" customHeight="1" x14ac:dyDescent="0.25">
      <c r="A31" s="16">
        <v>26</v>
      </c>
      <c r="B31" s="17" t="s">
        <v>134</v>
      </c>
      <c r="C31" s="17" t="s">
        <v>135</v>
      </c>
      <c r="D31" s="18" t="s">
        <v>136</v>
      </c>
      <c r="E31" s="18">
        <v>2</v>
      </c>
      <c r="F31" s="11">
        <f>IFERROR(ROUND(_xlfn.XLOOKUP(B31&amp;" "&amp;C31,'Examen 1'!B$2:B$27,'Examen 1'!E$2:E$27,0)/100*5,1),0)</f>
        <v>3.9</v>
      </c>
      <c r="G31" s="19" t="s">
        <v>145</v>
      </c>
      <c r="H31" s="19" t="s">
        <v>145</v>
      </c>
      <c r="I31" s="19" t="s">
        <v>145</v>
      </c>
      <c r="J31" s="19" t="s">
        <v>145</v>
      </c>
      <c r="K31" s="19" t="s">
        <v>145</v>
      </c>
      <c r="L31" s="19" t="s">
        <v>145</v>
      </c>
      <c r="M31" s="19" t="s">
        <v>145</v>
      </c>
      <c r="N31" s="19" t="s">
        <v>145</v>
      </c>
      <c r="O31" s="19" t="s">
        <v>145</v>
      </c>
      <c r="P31" s="19" t="s">
        <v>145</v>
      </c>
      <c r="Q31" s="19" t="s">
        <v>145</v>
      </c>
      <c r="R31" s="19" t="s">
        <v>145</v>
      </c>
      <c r="S31" s="19" t="s">
        <v>145</v>
      </c>
      <c r="T31" s="19" t="s">
        <v>145</v>
      </c>
      <c r="U31" s="19" t="s">
        <v>145</v>
      </c>
      <c r="V31" s="19" t="s">
        <v>145</v>
      </c>
      <c r="W31" s="19" t="s">
        <v>145</v>
      </c>
      <c r="X31" s="19" t="s">
        <v>146</v>
      </c>
      <c r="Y31" s="19" t="s">
        <v>146</v>
      </c>
      <c r="Z31" s="19" t="s">
        <v>146</v>
      </c>
      <c r="AA31" s="12" t="s">
        <v>145</v>
      </c>
      <c r="AB31" s="19" t="s">
        <v>145</v>
      </c>
      <c r="AC31" s="12" t="s">
        <v>145</v>
      </c>
      <c r="AD31" s="12" t="s">
        <v>145</v>
      </c>
      <c r="AE31" s="12" t="s">
        <v>145</v>
      </c>
      <c r="AF31" s="19"/>
      <c r="AG31" s="24"/>
      <c r="AH31" s="19"/>
      <c r="AI31" s="19"/>
      <c r="AJ31" s="19"/>
      <c r="AK31" s="19"/>
      <c r="AL31" s="19"/>
      <c r="AM31" s="13">
        <f t="shared" si="0"/>
        <v>22</v>
      </c>
      <c r="AN31" s="14">
        <f t="shared" si="1"/>
        <v>0</v>
      </c>
      <c r="AO31" s="15">
        <f t="shared" si="2"/>
        <v>0.6875</v>
      </c>
    </row>
    <row r="32" spans="1:41" ht="15" customHeight="1" x14ac:dyDescent="0.25">
      <c r="A32" s="9">
        <v>27</v>
      </c>
      <c r="B32" s="10" t="s">
        <v>137</v>
      </c>
      <c r="C32" s="10" t="s">
        <v>138</v>
      </c>
      <c r="D32" s="11" t="s">
        <v>139</v>
      </c>
      <c r="E32" s="11">
        <v>1</v>
      </c>
      <c r="F32" s="11">
        <f>IFERROR(ROUND(_xlfn.XLOOKUP(B32&amp;" "&amp;C32,'Examen 1'!B$2:B$27,'Examen 1'!E$2:E$27,0)/100*5,1),0)</f>
        <v>5</v>
      </c>
      <c r="G32" s="19" t="s">
        <v>145</v>
      </c>
      <c r="H32" s="19" t="s">
        <v>145</v>
      </c>
      <c r="I32" s="19" t="s">
        <v>145</v>
      </c>
      <c r="J32" s="19" t="s">
        <v>145</v>
      </c>
      <c r="K32" s="19" t="s">
        <v>145</v>
      </c>
      <c r="L32" s="19" t="s">
        <v>145</v>
      </c>
      <c r="M32" s="19" t="s">
        <v>145</v>
      </c>
      <c r="N32" s="19" t="s">
        <v>145</v>
      </c>
      <c r="O32" s="19" t="s">
        <v>145</v>
      </c>
      <c r="P32" s="19" t="s">
        <v>145</v>
      </c>
      <c r="Q32" s="19" t="s">
        <v>145</v>
      </c>
      <c r="R32" s="19" t="s">
        <v>145</v>
      </c>
      <c r="S32" s="19" t="s">
        <v>145</v>
      </c>
      <c r="T32" s="19" t="s">
        <v>145</v>
      </c>
      <c r="U32" s="19" t="s">
        <v>145</v>
      </c>
      <c r="V32" s="19" t="s">
        <v>145</v>
      </c>
      <c r="W32" s="19" t="s">
        <v>145</v>
      </c>
      <c r="X32" s="19" t="s">
        <v>146</v>
      </c>
      <c r="Y32" s="19" t="s">
        <v>146</v>
      </c>
      <c r="Z32" s="19" t="s">
        <v>146</v>
      </c>
      <c r="AA32" s="12" t="s">
        <v>145</v>
      </c>
      <c r="AB32" s="12" t="s">
        <v>145</v>
      </c>
      <c r="AC32" s="12" t="s">
        <v>145</v>
      </c>
      <c r="AD32" s="12" t="s">
        <v>145</v>
      </c>
      <c r="AE32" s="12" t="s">
        <v>145</v>
      </c>
      <c r="AF32" s="12"/>
      <c r="AG32" s="23"/>
      <c r="AH32" s="12"/>
      <c r="AI32" s="12"/>
      <c r="AJ32" s="12"/>
      <c r="AK32" s="12"/>
      <c r="AL32" s="12"/>
      <c r="AM32" s="13">
        <f t="shared" si="0"/>
        <v>22</v>
      </c>
      <c r="AN32" s="14">
        <f t="shared" si="1"/>
        <v>0</v>
      </c>
      <c r="AO32" s="15">
        <f t="shared" si="2"/>
        <v>0.6875</v>
      </c>
    </row>
    <row r="33" spans="1:41" ht="15.75" customHeight="1" x14ac:dyDescent="0.25">
      <c r="A33" s="47" t="s">
        <v>140</v>
      </c>
      <c r="B33" s="47"/>
      <c r="C33" s="47"/>
      <c r="D33" s="47"/>
      <c r="E33" s="1"/>
      <c r="F33" s="1"/>
      <c r="G33" s="20">
        <f t="shared" ref="G33:AL33" si="3">COUNTIF(G6:G32,"A")</f>
        <v>27</v>
      </c>
      <c r="H33" s="20">
        <f t="shared" si="3"/>
        <v>27</v>
      </c>
      <c r="I33" s="20">
        <f t="shared" si="3"/>
        <v>27</v>
      </c>
      <c r="J33" s="20">
        <f t="shared" si="3"/>
        <v>27</v>
      </c>
      <c r="K33" s="20">
        <f t="shared" si="3"/>
        <v>27</v>
      </c>
      <c r="L33" s="20">
        <f t="shared" si="3"/>
        <v>27</v>
      </c>
      <c r="M33" s="20">
        <f t="shared" si="3"/>
        <v>27</v>
      </c>
      <c r="N33" s="20">
        <f t="shared" si="3"/>
        <v>27</v>
      </c>
      <c r="O33" s="20">
        <f t="shared" si="3"/>
        <v>27</v>
      </c>
      <c r="P33" s="20">
        <f t="shared" si="3"/>
        <v>27</v>
      </c>
      <c r="Q33" s="20">
        <f t="shared" si="3"/>
        <v>27</v>
      </c>
      <c r="R33" s="20">
        <f t="shared" si="3"/>
        <v>27</v>
      </c>
      <c r="S33" s="20">
        <f t="shared" si="3"/>
        <v>27</v>
      </c>
      <c r="T33" s="20">
        <f t="shared" si="3"/>
        <v>27</v>
      </c>
      <c r="U33" s="20">
        <f t="shared" si="3"/>
        <v>27</v>
      </c>
      <c r="V33" s="20">
        <f t="shared" si="3"/>
        <v>27</v>
      </c>
      <c r="W33" s="20">
        <f t="shared" si="3"/>
        <v>27</v>
      </c>
      <c r="X33" s="20">
        <f t="shared" si="3"/>
        <v>0</v>
      </c>
      <c r="Y33" s="20">
        <f t="shared" si="3"/>
        <v>0</v>
      </c>
      <c r="Z33" s="20">
        <f t="shared" si="3"/>
        <v>0</v>
      </c>
      <c r="AA33" s="20">
        <f t="shared" si="3"/>
        <v>27</v>
      </c>
      <c r="AB33" s="20">
        <f t="shared" si="3"/>
        <v>27</v>
      </c>
      <c r="AC33" s="20">
        <f t="shared" si="3"/>
        <v>27</v>
      </c>
      <c r="AD33" s="20">
        <f t="shared" si="3"/>
        <v>27</v>
      </c>
      <c r="AE33" s="20">
        <f t="shared" si="3"/>
        <v>27</v>
      </c>
      <c r="AF33" s="20">
        <f t="shared" si="3"/>
        <v>0</v>
      </c>
      <c r="AG33" s="25">
        <f t="shared" si="3"/>
        <v>0</v>
      </c>
      <c r="AH33" s="20">
        <f t="shared" si="3"/>
        <v>0</v>
      </c>
      <c r="AI33" s="20">
        <f t="shared" si="3"/>
        <v>0</v>
      </c>
      <c r="AJ33" s="20">
        <f t="shared" si="3"/>
        <v>0</v>
      </c>
      <c r="AK33" s="20">
        <f t="shared" si="3"/>
        <v>0</v>
      </c>
      <c r="AL33" s="20">
        <f t="shared" si="3"/>
        <v>0</v>
      </c>
      <c r="AM33" s="5"/>
      <c r="AN33" s="5"/>
      <c r="AO33" s="5"/>
    </row>
    <row r="34" spans="1:41" ht="15.75" customHeight="1" x14ac:dyDescent="0.25">
      <c r="A34" s="48" t="s">
        <v>141</v>
      </c>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row>
    <row r="35" spans="1:41" x14ac:dyDescent="0.25">
      <c r="AG35" s="26" t="s">
        <v>147</v>
      </c>
    </row>
  </sheetData>
  <mergeCells count="20">
    <mergeCell ref="AA3:AB3"/>
    <mergeCell ref="AC3:AD3"/>
    <mergeCell ref="AE3:AF3"/>
    <mergeCell ref="AG3:AH3"/>
    <mergeCell ref="AI3:AJ3"/>
    <mergeCell ref="AK3:AL3"/>
    <mergeCell ref="A33:D33"/>
    <mergeCell ref="A34:AO34"/>
    <mergeCell ref="A1:AO1"/>
    <mergeCell ref="A2:AO2"/>
    <mergeCell ref="G3:H3"/>
    <mergeCell ref="I3:J3"/>
    <mergeCell ref="K3:L3"/>
    <mergeCell ref="M3:N3"/>
    <mergeCell ref="O3:P3"/>
    <mergeCell ref="Q3:R3"/>
    <mergeCell ref="S3:T3"/>
    <mergeCell ref="U3:V3"/>
    <mergeCell ref="W3:X3"/>
    <mergeCell ref="Y3:Z3"/>
  </mergeCells>
  <conditionalFormatting sqref="AO6:AO32">
    <cfRule type="expression" dxfId="1" priority="2">
      <formula>AO6&lt;0.8</formula>
    </cfRule>
    <cfRule type="expression" dxfId="0" priority="3">
      <formula>AO6&gt;=0.8</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9"/>
  <sheetViews>
    <sheetView zoomScaleNormal="100" workbookViewId="0">
      <pane ySplit="2" topLeftCell="A3" activePane="bottomLeft" state="frozen"/>
      <selection pane="bottomLeft" activeCell="AA11" sqref="AA11"/>
    </sheetView>
  </sheetViews>
  <sheetFormatPr defaultColWidth="8.7109375" defaultRowHeight="15" x14ac:dyDescent="0.25"/>
  <cols>
    <col min="1" max="1" width="4" customWidth="1"/>
    <col min="2" max="2" width="22" customWidth="1"/>
    <col min="3" max="3" width="20" customWidth="1"/>
    <col min="4" max="5" width="12" customWidth="1"/>
    <col min="6" max="6" width="8" customWidth="1"/>
    <col min="7" max="7" width="10" customWidth="1"/>
    <col min="8" max="8" width="14" customWidth="1"/>
  </cols>
  <sheetData>
    <row r="1" spans="1:8" ht="24" customHeight="1" x14ac:dyDescent="0.25">
      <c r="A1" s="49" t="s">
        <v>142</v>
      </c>
      <c r="B1" s="49"/>
      <c r="C1" s="49"/>
      <c r="D1" s="49"/>
      <c r="E1" s="49"/>
      <c r="F1" s="49"/>
      <c r="G1" s="49"/>
      <c r="H1" s="49"/>
    </row>
    <row r="2" spans="1:8" ht="18" customHeight="1" x14ac:dyDescent="0.25">
      <c r="A2" s="21" t="s">
        <v>2</v>
      </c>
      <c r="B2" s="21" t="s">
        <v>3</v>
      </c>
      <c r="C2" s="21" t="s">
        <v>4</v>
      </c>
      <c r="D2" s="21" t="s">
        <v>5</v>
      </c>
      <c r="E2" s="21" t="s">
        <v>143</v>
      </c>
      <c r="F2" s="21" t="s">
        <v>23</v>
      </c>
      <c r="G2" s="21" t="s">
        <v>24</v>
      </c>
      <c r="H2" s="21" t="s">
        <v>144</v>
      </c>
    </row>
    <row r="3" spans="1:8" ht="15" customHeight="1" x14ac:dyDescent="0.25">
      <c r="A3" s="9">
        <v>1</v>
      </c>
      <c r="B3" s="10" t="s">
        <v>59</v>
      </c>
      <c r="C3" s="10" t="s">
        <v>60</v>
      </c>
      <c r="D3" s="11" t="s">
        <v>61</v>
      </c>
      <c r="E3" s="13">
        <f>Asistencia!AM6</f>
        <v>22</v>
      </c>
      <c r="F3" s="14">
        <f>Asistencia!AN6</f>
        <v>0</v>
      </c>
      <c r="G3" s="15">
        <f>Asistencia!AO6</f>
        <v>0.6875</v>
      </c>
      <c r="H3" s="9" t="str">
        <f>IF(Asistencia!AO6="","Sin datos",IF(Asistencia!AO6&gt;=0.8,"✅ Asistencia!AB6ARegular","⚠️ En riesgo"))</f>
        <v>⚠️ En riesgo</v>
      </c>
    </row>
    <row r="4" spans="1:8" ht="15" customHeight="1" x14ac:dyDescent="0.25">
      <c r="A4" s="16">
        <v>2</v>
      </c>
      <c r="B4" s="17" t="s">
        <v>62</v>
      </c>
      <c r="C4" s="17" t="s">
        <v>63</v>
      </c>
      <c r="D4" s="18" t="s">
        <v>64</v>
      </c>
      <c r="E4" s="13">
        <f>Asistencia!AM7</f>
        <v>22</v>
      </c>
      <c r="F4" s="14">
        <f>Asistencia!AN7</f>
        <v>0</v>
      </c>
      <c r="G4" s="15">
        <f>Asistencia!AO7</f>
        <v>0.6875</v>
      </c>
      <c r="H4" s="16" t="str">
        <f>IF(Asistencia!AO7="","Sin datos",IF(Asistencia!AO7&gt;=0.8,"✅ Regular","⚠️ En riesgo"))</f>
        <v>⚠️ En riesgo</v>
      </c>
    </row>
    <row r="5" spans="1:8" ht="15" customHeight="1" x14ac:dyDescent="0.25">
      <c r="A5" s="9">
        <v>3</v>
      </c>
      <c r="B5" s="10" t="s">
        <v>65</v>
      </c>
      <c r="C5" s="10" t="s">
        <v>66</v>
      </c>
      <c r="D5" s="11" t="s">
        <v>67</v>
      </c>
      <c r="E5" s="13">
        <f>Asistencia!AM8</f>
        <v>22</v>
      </c>
      <c r="F5" s="14">
        <f>Asistencia!AN8</f>
        <v>0</v>
      </c>
      <c r="G5" s="15">
        <f>Asistencia!AO8</f>
        <v>0.6875</v>
      </c>
      <c r="H5" s="9" t="str">
        <f>IF(Asistencia!AO8="","Sin datos",IF(Asistencia!AO8&gt;=0.8,"✅ Regular","⚠️ En riesgo"))</f>
        <v>⚠️ En riesgo</v>
      </c>
    </row>
    <row r="6" spans="1:8" ht="15" customHeight="1" x14ac:dyDescent="0.25">
      <c r="A6" s="16">
        <v>4</v>
      </c>
      <c r="B6" s="17" t="s">
        <v>68</v>
      </c>
      <c r="C6" s="17" t="s">
        <v>69</v>
      </c>
      <c r="D6" s="18" t="s">
        <v>70</v>
      </c>
      <c r="E6" s="13">
        <f>Asistencia!AM9</f>
        <v>22</v>
      </c>
      <c r="F6" s="14">
        <f>Asistencia!AN9</f>
        <v>0</v>
      </c>
      <c r="G6" s="15">
        <f>Asistencia!AO9</f>
        <v>0.6875</v>
      </c>
      <c r="H6" s="16" t="str">
        <f>IF(Asistencia!AO9="","Sin datos",IF(Asistencia!AO9&gt;=0.8,"✅ Regular","⚠️ En riesgo"))</f>
        <v>⚠️ En riesgo</v>
      </c>
    </row>
    <row r="7" spans="1:8" ht="15" customHeight="1" x14ac:dyDescent="0.25">
      <c r="A7" s="9">
        <v>5</v>
      </c>
      <c r="B7" s="10" t="s">
        <v>71</v>
      </c>
      <c r="C7" s="10" t="s">
        <v>72</v>
      </c>
      <c r="D7" s="11" t="s">
        <v>73</v>
      </c>
      <c r="E7" s="13">
        <f>Asistencia!AM10</f>
        <v>22</v>
      </c>
      <c r="F7" s="14">
        <f>Asistencia!AN10</f>
        <v>0</v>
      </c>
      <c r="G7" s="15">
        <f>Asistencia!AO10</f>
        <v>0.6875</v>
      </c>
      <c r="H7" s="9" t="str">
        <f>IF(Asistencia!AO10="","Sin datos",IF(Asistencia!AO10&gt;=0.8,"✅ Regular","⚠️ En riesgo"))</f>
        <v>⚠️ En riesgo</v>
      </c>
    </row>
    <row r="8" spans="1:8" ht="15" customHeight="1" x14ac:dyDescent="0.25">
      <c r="A8" s="16">
        <v>6</v>
      </c>
      <c r="B8" s="17" t="s">
        <v>74</v>
      </c>
      <c r="C8" s="17" t="s">
        <v>75</v>
      </c>
      <c r="D8" s="18" t="s">
        <v>76</v>
      </c>
      <c r="E8" s="13">
        <f>Asistencia!AM11</f>
        <v>22</v>
      </c>
      <c r="F8" s="14">
        <f>Asistencia!AN11</f>
        <v>0</v>
      </c>
      <c r="G8" s="15">
        <f>Asistencia!AO11</f>
        <v>0.6875</v>
      </c>
      <c r="H8" s="16" t="str">
        <f>IF(Asistencia!AO11="","Sin datos",IF(Asistencia!AO11&gt;=0.8,"✅ Regular","⚠️ En riesgo"))</f>
        <v>⚠️ En riesgo</v>
      </c>
    </row>
    <row r="9" spans="1:8" ht="15" customHeight="1" x14ac:dyDescent="0.25">
      <c r="A9" s="9">
        <v>7</v>
      </c>
      <c r="B9" s="10" t="s">
        <v>77</v>
      </c>
      <c r="C9" s="10" t="s">
        <v>78</v>
      </c>
      <c r="D9" s="11" t="s">
        <v>79</v>
      </c>
      <c r="E9" s="13">
        <f>Asistencia!AM12</f>
        <v>22</v>
      </c>
      <c r="F9" s="14">
        <f>Asistencia!AN12</f>
        <v>0</v>
      </c>
      <c r="G9" s="15">
        <f>Asistencia!AO12</f>
        <v>0.6875</v>
      </c>
      <c r="H9" s="9" t="str">
        <f>IF(Asistencia!AO12="","Sin datos",IF(Asistencia!AO12&gt;=0.8,"✅ Regular","⚠️ En riesgo"))</f>
        <v>⚠️ En riesgo</v>
      </c>
    </row>
    <row r="10" spans="1:8" ht="15" customHeight="1" x14ac:dyDescent="0.25">
      <c r="A10" s="16">
        <v>8</v>
      </c>
      <c r="B10" s="17" t="s">
        <v>80</v>
      </c>
      <c r="C10" s="17" t="s">
        <v>81</v>
      </c>
      <c r="D10" s="18" t="s">
        <v>82</v>
      </c>
      <c r="E10" s="13">
        <f>Asistencia!AM13</f>
        <v>22</v>
      </c>
      <c r="F10" s="14">
        <f>Asistencia!AN13</f>
        <v>0</v>
      </c>
      <c r="G10" s="15">
        <f>Asistencia!AO13</f>
        <v>0.6875</v>
      </c>
      <c r="H10" s="16" t="str">
        <f>IF(Asistencia!AO13="","Sin datos",IF(Asistencia!AO13&gt;=0.8,"✅ Regular","⚠️ En riesgo"))</f>
        <v>⚠️ En riesgo</v>
      </c>
    </row>
    <row r="11" spans="1:8" ht="15" customHeight="1" x14ac:dyDescent="0.25">
      <c r="A11" s="9">
        <v>9</v>
      </c>
      <c r="B11" s="10" t="s">
        <v>83</v>
      </c>
      <c r="C11" s="10" t="s">
        <v>84</v>
      </c>
      <c r="D11" s="11" t="s">
        <v>85</v>
      </c>
      <c r="E11" s="13">
        <f>Asistencia!AM14</f>
        <v>22</v>
      </c>
      <c r="F11" s="14">
        <f>Asistencia!AN14</f>
        <v>0</v>
      </c>
      <c r="G11" s="15">
        <f>Asistencia!AO14</f>
        <v>0.6875</v>
      </c>
      <c r="H11" s="9" t="str">
        <f>IF(Asistencia!AO14="","Sin datos",IF(Asistencia!AO14&gt;=0.8,"✅ Regular","⚠️ En riesgo"))</f>
        <v>⚠️ En riesgo</v>
      </c>
    </row>
    <row r="12" spans="1:8" ht="15" customHeight="1" x14ac:dyDescent="0.25">
      <c r="A12" s="16">
        <v>10</v>
      </c>
      <c r="B12" s="17" t="s">
        <v>86</v>
      </c>
      <c r="C12" s="17" t="s">
        <v>87</v>
      </c>
      <c r="D12" s="18" t="s">
        <v>88</v>
      </c>
      <c r="E12" s="13">
        <f>Asistencia!AM15</f>
        <v>22</v>
      </c>
      <c r="F12" s="14">
        <f>Asistencia!AN15</f>
        <v>0</v>
      </c>
      <c r="G12" s="15">
        <f>Asistencia!AO15</f>
        <v>0.6875</v>
      </c>
      <c r="H12" s="16" t="str">
        <f>IF(Asistencia!AO15="","Sin datos",IF(Asistencia!AO15&gt;=0.8,"✅ Regular","⚠️ En riesgo"))</f>
        <v>⚠️ En riesgo</v>
      </c>
    </row>
    <row r="13" spans="1:8" ht="15" customHeight="1" x14ac:dyDescent="0.25">
      <c r="A13" s="9">
        <v>11</v>
      </c>
      <c r="B13" s="10" t="s">
        <v>89</v>
      </c>
      <c r="C13" s="10" t="s">
        <v>90</v>
      </c>
      <c r="D13" s="11" t="s">
        <v>91</v>
      </c>
      <c r="E13" s="13">
        <f>Asistencia!AM16</f>
        <v>22</v>
      </c>
      <c r="F13" s="14">
        <f>Asistencia!AN16</f>
        <v>0</v>
      </c>
      <c r="G13" s="15">
        <f>Asistencia!AO16</f>
        <v>0.6875</v>
      </c>
      <c r="H13" s="9" t="str">
        <f>IF(Asistencia!AO16="","Sin datos",IF(Asistencia!AO16&gt;=0.8,"✅ Regular","⚠️ En riesgo"))</f>
        <v>⚠️ En riesgo</v>
      </c>
    </row>
    <row r="14" spans="1:8" ht="15" customHeight="1" x14ac:dyDescent="0.25">
      <c r="A14" s="16">
        <v>12</v>
      </c>
      <c r="B14" s="17" t="s">
        <v>92</v>
      </c>
      <c r="C14" s="17" t="s">
        <v>93</v>
      </c>
      <c r="D14" s="18" t="s">
        <v>94</v>
      </c>
      <c r="E14" s="13">
        <f>Asistencia!AM17</f>
        <v>22</v>
      </c>
      <c r="F14" s="14">
        <f>Asistencia!AN17</f>
        <v>0</v>
      </c>
      <c r="G14" s="15">
        <f>Asistencia!AO17</f>
        <v>0.6875</v>
      </c>
      <c r="H14" s="16" t="str">
        <f>IF(Asistencia!AO17="","Sin datos",IF(Asistencia!AO17&gt;=0.8,"✅ Regular","⚠️ En riesgo"))</f>
        <v>⚠️ En riesgo</v>
      </c>
    </row>
    <row r="15" spans="1:8" ht="15" customHeight="1" x14ac:dyDescent="0.25">
      <c r="A15" s="9">
        <v>13</v>
      </c>
      <c r="B15" s="10" t="s">
        <v>95</v>
      </c>
      <c r="C15" s="10" t="s">
        <v>96</v>
      </c>
      <c r="D15" s="11" t="s">
        <v>97</v>
      </c>
      <c r="E15" s="13">
        <f>Asistencia!AM18</f>
        <v>22</v>
      </c>
      <c r="F15" s="14">
        <f>Asistencia!AN18</f>
        <v>0</v>
      </c>
      <c r="G15" s="15">
        <f>Asistencia!AO18</f>
        <v>0.6875</v>
      </c>
      <c r="H15" s="9" t="str">
        <f>IF(Asistencia!AO18="","Sin datos",IF(Asistencia!AO18&gt;=0.8,"✅ Regular","⚠️ En riesgo"))</f>
        <v>⚠️ En riesgo</v>
      </c>
    </row>
    <row r="16" spans="1:8" ht="15" customHeight="1" x14ac:dyDescent="0.25">
      <c r="A16" s="16">
        <v>14</v>
      </c>
      <c r="B16" s="17" t="s">
        <v>98</v>
      </c>
      <c r="C16" s="17" t="s">
        <v>99</v>
      </c>
      <c r="D16" s="18" t="s">
        <v>100</v>
      </c>
      <c r="E16" s="13">
        <f>Asistencia!AM19</f>
        <v>22</v>
      </c>
      <c r="F16" s="14">
        <f>Asistencia!AN19</f>
        <v>0</v>
      </c>
      <c r="G16" s="15">
        <f>Asistencia!AO19</f>
        <v>0.6875</v>
      </c>
      <c r="H16" s="16" t="str">
        <f>IF(Asistencia!AO19="","Sin datos",IF(Asistencia!AO19&gt;=0.8,"✅ Regular","⚠️ En riesgo"))</f>
        <v>⚠️ En riesgo</v>
      </c>
    </row>
    <row r="17" spans="1:8" ht="15" customHeight="1" x14ac:dyDescent="0.25">
      <c r="A17" s="9">
        <v>15</v>
      </c>
      <c r="B17" s="10" t="s">
        <v>101</v>
      </c>
      <c r="C17" s="10" t="s">
        <v>102</v>
      </c>
      <c r="D17" s="11" t="s">
        <v>103</v>
      </c>
      <c r="E17" s="13">
        <f>Asistencia!AM20</f>
        <v>22</v>
      </c>
      <c r="F17" s="14">
        <f>Asistencia!AN20</f>
        <v>0</v>
      </c>
      <c r="G17" s="15">
        <f>Asistencia!AO20</f>
        <v>0.6875</v>
      </c>
      <c r="H17" s="9" t="str">
        <f>IF(Asistencia!AO20="","Sin datos",IF(Asistencia!AO20&gt;=0.8,"✅ Regular","⚠️ En riesgo"))</f>
        <v>⚠️ En riesgo</v>
      </c>
    </row>
    <row r="18" spans="1:8" ht="15" customHeight="1" x14ac:dyDescent="0.25">
      <c r="A18" s="16">
        <v>16</v>
      </c>
      <c r="B18" s="17" t="s">
        <v>104</v>
      </c>
      <c r="C18" s="17" t="s">
        <v>105</v>
      </c>
      <c r="D18" s="18" t="s">
        <v>106</v>
      </c>
      <c r="E18" s="13">
        <f>Asistencia!AM21</f>
        <v>22</v>
      </c>
      <c r="F18" s="14">
        <f>Asistencia!AN21</f>
        <v>0</v>
      </c>
      <c r="G18" s="15">
        <f>Asistencia!AO21</f>
        <v>0.6875</v>
      </c>
      <c r="H18" s="16" t="str">
        <f>IF(Asistencia!AO21="","Sin datos",IF(Asistencia!AO21&gt;=0.8,"✅ Regular","⚠️ En riesgo"))</f>
        <v>⚠️ En riesgo</v>
      </c>
    </row>
    <row r="19" spans="1:8" ht="15" customHeight="1" x14ac:dyDescent="0.25">
      <c r="A19" s="9">
        <v>17</v>
      </c>
      <c r="B19" s="10" t="s">
        <v>107</v>
      </c>
      <c r="C19" s="10" t="s">
        <v>108</v>
      </c>
      <c r="D19" s="11" t="s">
        <v>109</v>
      </c>
      <c r="E19" s="13">
        <f>Asistencia!AM22</f>
        <v>22</v>
      </c>
      <c r="F19" s="14">
        <f>Asistencia!AN22</f>
        <v>0</v>
      </c>
      <c r="G19" s="15">
        <f>Asistencia!AO22</f>
        <v>0.6875</v>
      </c>
      <c r="H19" s="9" t="str">
        <f>IF(Asistencia!AO22="","Sin datos",IF(Asistencia!AO22&gt;=0.8,"✅ Regular","⚠️ En riesgo"))</f>
        <v>⚠️ En riesgo</v>
      </c>
    </row>
    <row r="20" spans="1:8" ht="15" customHeight="1" x14ac:dyDescent="0.25">
      <c r="A20" s="16">
        <v>18</v>
      </c>
      <c r="B20" s="17" t="s">
        <v>110</v>
      </c>
      <c r="C20" s="17" t="s">
        <v>111</v>
      </c>
      <c r="D20" s="18" t="s">
        <v>112</v>
      </c>
      <c r="E20" s="13">
        <f>Asistencia!AM23</f>
        <v>22</v>
      </c>
      <c r="F20" s="14">
        <f>Asistencia!AN23</f>
        <v>0</v>
      </c>
      <c r="G20" s="15">
        <f>Asistencia!AO23</f>
        <v>0.6875</v>
      </c>
      <c r="H20" s="16" t="str">
        <f>IF(Asistencia!AO23="","Sin datos",IF(Asistencia!AO23&gt;=0.8,"✅ Regular","⚠️ En riesgo"))</f>
        <v>⚠️ En riesgo</v>
      </c>
    </row>
    <row r="21" spans="1:8" ht="15" customHeight="1" x14ac:dyDescent="0.25">
      <c r="A21" s="9">
        <v>19</v>
      </c>
      <c r="B21" s="10" t="s">
        <v>113</v>
      </c>
      <c r="C21" s="10" t="s">
        <v>114</v>
      </c>
      <c r="D21" s="11" t="s">
        <v>115</v>
      </c>
      <c r="E21" s="13">
        <f>Asistencia!AM24</f>
        <v>22</v>
      </c>
      <c r="F21" s="14">
        <f>Asistencia!AN24</f>
        <v>0</v>
      </c>
      <c r="G21" s="15">
        <f>Asistencia!AO24</f>
        <v>0.6875</v>
      </c>
      <c r="H21" s="9" t="str">
        <f>IF(Asistencia!AO24="","Sin datos",IF(Asistencia!AO24&gt;=0.8,"✅ Regular","⚠️ En riesgo"))</f>
        <v>⚠️ En riesgo</v>
      </c>
    </row>
    <row r="22" spans="1:8" ht="15" customHeight="1" x14ac:dyDescent="0.25">
      <c r="A22" s="16">
        <v>20</v>
      </c>
      <c r="B22" s="17" t="s">
        <v>116</v>
      </c>
      <c r="C22" s="17" t="s">
        <v>117</v>
      </c>
      <c r="D22" s="18" t="s">
        <v>118</v>
      </c>
      <c r="E22" s="13">
        <f>Asistencia!AM25</f>
        <v>22</v>
      </c>
      <c r="F22" s="14">
        <f>Asistencia!AN25</f>
        <v>0</v>
      </c>
      <c r="G22" s="15">
        <f>Asistencia!AO25</f>
        <v>0.6875</v>
      </c>
      <c r="H22" s="16" t="str">
        <f>IF(Asistencia!AO25="","Sin datos",IF(Asistencia!AO25&gt;=0.8,"✅ Regular","⚠️ En riesgo"))</f>
        <v>⚠️ En riesgo</v>
      </c>
    </row>
    <row r="23" spans="1:8" ht="15" customHeight="1" x14ac:dyDescent="0.25">
      <c r="A23" s="9">
        <v>21</v>
      </c>
      <c r="B23" s="10" t="s">
        <v>119</v>
      </c>
      <c r="C23" s="10" t="s">
        <v>120</v>
      </c>
      <c r="D23" s="11" t="s">
        <v>121</v>
      </c>
      <c r="E23" s="13">
        <f>Asistencia!AM26</f>
        <v>22</v>
      </c>
      <c r="F23" s="14">
        <f>Asistencia!AN26</f>
        <v>0</v>
      </c>
      <c r="G23" s="15">
        <f>Asistencia!AO26</f>
        <v>0.6875</v>
      </c>
      <c r="H23" s="9" t="str">
        <f>IF(Asistencia!AO26="","Sin datos",IF(Asistencia!AO26&gt;=0.8,"✅ Regular","⚠️ En riesgo"))</f>
        <v>⚠️ En riesgo</v>
      </c>
    </row>
    <row r="24" spans="1:8" ht="15" customHeight="1" x14ac:dyDescent="0.25">
      <c r="A24" s="16">
        <v>22</v>
      </c>
      <c r="B24" s="17" t="s">
        <v>122</v>
      </c>
      <c r="C24" s="17" t="s">
        <v>123</v>
      </c>
      <c r="D24" s="18" t="s">
        <v>124</v>
      </c>
      <c r="E24" s="13">
        <f>Asistencia!AM27</f>
        <v>22</v>
      </c>
      <c r="F24" s="14">
        <f>Asistencia!AN27</f>
        <v>0</v>
      </c>
      <c r="G24" s="15">
        <f>Asistencia!AO27</f>
        <v>0.6875</v>
      </c>
      <c r="H24" s="16" t="str">
        <f>IF(Asistencia!AO27="","Sin datos",IF(Asistencia!AO27&gt;=0.8,"✅ Regular","⚠️ En riesgo"))</f>
        <v>⚠️ En riesgo</v>
      </c>
    </row>
    <row r="25" spans="1:8" ht="15" customHeight="1" x14ac:dyDescent="0.25">
      <c r="A25" s="9">
        <v>23</v>
      </c>
      <c r="B25" s="10" t="s">
        <v>125</v>
      </c>
      <c r="C25" s="10" t="s">
        <v>126</v>
      </c>
      <c r="D25" s="11" t="s">
        <v>127</v>
      </c>
      <c r="E25" s="13">
        <f>Asistencia!AM28</f>
        <v>22</v>
      </c>
      <c r="F25" s="14">
        <f>Asistencia!AN28</f>
        <v>0</v>
      </c>
      <c r="G25" s="15">
        <f>Asistencia!AO28</f>
        <v>0.6875</v>
      </c>
      <c r="H25" s="9" t="str">
        <f>IF(Asistencia!AO28="","Sin datos",IF(Asistencia!AO28&gt;=0.8,"✅ Regular","⚠️ En riesgo"))</f>
        <v>⚠️ En riesgo</v>
      </c>
    </row>
    <row r="26" spans="1:8" ht="15" customHeight="1" x14ac:dyDescent="0.25">
      <c r="A26" s="16">
        <v>24</v>
      </c>
      <c r="B26" s="17" t="s">
        <v>128</v>
      </c>
      <c r="C26" s="17" t="s">
        <v>129</v>
      </c>
      <c r="D26" s="18" t="s">
        <v>130</v>
      </c>
      <c r="E26" s="13">
        <f>Asistencia!AM29</f>
        <v>22</v>
      </c>
      <c r="F26" s="14">
        <f>Asistencia!AN29</f>
        <v>0</v>
      </c>
      <c r="G26" s="15">
        <f>Asistencia!AO29</f>
        <v>0.6875</v>
      </c>
      <c r="H26" s="16" t="str">
        <f>IF(Asistencia!AO29="","Sin datos",IF(Asistencia!AO29&gt;=0.8,"✅ Regular","⚠️ En riesgo"))</f>
        <v>⚠️ En riesgo</v>
      </c>
    </row>
    <row r="27" spans="1:8" ht="15" customHeight="1" x14ac:dyDescent="0.25">
      <c r="A27" s="9">
        <v>25</v>
      </c>
      <c r="B27" s="10" t="s">
        <v>131</v>
      </c>
      <c r="C27" s="10" t="s">
        <v>132</v>
      </c>
      <c r="D27" s="11" t="s">
        <v>133</v>
      </c>
      <c r="E27" s="13">
        <f>Asistencia!AM30</f>
        <v>22</v>
      </c>
      <c r="F27" s="14">
        <f>Asistencia!AN30</f>
        <v>0</v>
      </c>
      <c r="G27" s="15">
        <f>Asistencia!AO30</f>
        <v>0.6875</v>
      </c>
      <c r="H27" s="9" t="str">
        <f>IF(Asistencia!AO30="","Sin datos",IF(Asistencia!AO30&gt;=0.8,"✅ Regular","⚠️ En riesgo"))</f>
        <v>⚠️ En riesgo</v>
      </c>
    </row>
    <row r="28" spans="1:8" ht="15" customHeight="1" x14ac:dyDescent="0.25">
      <c r="A28" s="16">
        <v>26</v>
      </c>
      <c r="B28" s="17" t="s">
        <v>134</v>
      </c>
      <c r="C28" s="17" t="s">
        <v>135</v>
      </c>
      <c r="D28" s="18" t="s">
        <v>136</v>
      </c>
      <c r="E28" s="13">
        <f>Asistencia!AM31</f>
        <v>22</v>
      </c>
      <c r="F28" s="14">
        <f>Asistencia!AN31</f>
        <v>0</v>
      </c>
      <c r="G28" s="15">
        <f>Asistencia!AO31</f>
        <v>0.6875</v>
      </c>
      <c r="H28" s="16" t="str">
        <f>IF(Asistencia!AO31="","Sin datos",IF(Asistencia!AO31&gt;=0.8,"✅ Regular","⚠️ En riesgo"))</f>
        <v>⚠️ En riesgo</v>
      </c>
    </row>
    <row r="29" spans="1:8" ht="15" customHeight="1" x14ac:dyDescent="0.25">
      <c r="A29" s="9">
        <v>27</v>
      </c>
      <c r="B29" s="10" t="s">
        <v>137</v>
      </c>
      <c r="C29" s="10" t="s">
        <v>138</v>
      </c>
      <c r="D29" s="11" t="s">
        <v>139</v>
      </c>
      <c r="E29" s="13">
        <f>Asistencia!AM32</f>
        <v>22</v>
      </c>
      <c r="F29" s="14">
        <f>Asistencia!AN32</f>
        <v>0</v>
      </c>
      <c r="G29" s="15">
        <f>Asistencia!AO32</f>
        <v>0.6875</v>
      </c>
      <c r="H29" s="9" t="str">
        <f>IF(Asistencia!AO32="","Sin datos",IF(Asistencia!AO32&gt;=0.8,"✅ Regular","⚠️ En riesgo"))</f>
        <v>⚠️ En riesgo</v>
      </c>
    </row>
  </sheetData>
  <mergeCells count="1">
    <mergeCell ref="A1:H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81B1C-465B-40C3-B31E-0122F766D036}">
  <dimension ref="A1:Z28"/>
  <sheetViews>
    <sheetView topLeftCell="A4" workbookViewId="0">
      <selection activeCell="B27" sqref="B27"/>
    </sheetView>
  </sheetViews>
  <sheetFormatPr defaultRowHeight="15" x14ac:dyDescent="0.25"/>
  <cols>
    <col min="1" max="1" width="18" bestFit="1" customWidth="1"/>
    <col min="2" max="2" width="39.42578125" customWidth="1"/>
    <col min="3" max="3" width="21.140625" customWidth="1"/>
    <col min="4" max="4" width="13.140625" customWidth="1"/>
    <col min="5" max="5" width="13.140625" style="27" customWidth="1"/>
  </cols>
  <sheetData>
    <row r="1" spans="1:26" x14ac:dyDescent="0.25">
      <c r="A1" s="34" t="s">
        <v>148</v>
      </c>
      <c r="B1" s="34" t="s">
        <v>276</v>
      </c>
      <c r="C1" s="34" t="s">
        <v>149</v>
      </c>
      <c r="D1" s="34" t="s">
        <v>273</v>
      </c>
      <c r="E1" s="35" t="s">
        <v>150</v>
      </c>
      <c r="F1" s="34" t="s">
        <v>151</v>
      </c>
      <c r="G1" s="34" t="s">
        <v>152</v>
      </c>
      <c r="H1" s="34" t="s">
        <v>153</v>
      </c>
      <c r="I1" s="34" t="s">
        <v>154</v>
      </c>
      <c r="J1" s="34" t="s">
        <v>155</v>
      </c>
      <c r="K1" s="34" t="s">
        <v>156</v>
      </c>
      <c r="L1" s="34" t="s">
        <v>157</v>
      </c>
      <c r="M1" s="34" t="s">
        <v>158</v>
      </c>
      <c r="N1" s="34" t="s">
        <v>159</v>
      </c>
      <c r="O1" s="34" t="s">
        <v>160</v>
      </c>
      <c r="P1" s="34" t="s">
        <v>161</v>
      </c>
      <c r="Q1" s="34" t="s">
        <v>162</v>
      </c>
      <c r="R1" s="34" t="s">
        <v>163</v>
      </c>
      <c r="S1" s="34" t="s">
        <v>164</v>
      </c>
      <c r="T1" s="34" t="s">
        <v>165</v>
      </c>
      <c r="U1" s="34" t="s">
        <v>166</v>
      </c>
      <c r="V1" s="34" t="s">
        <v>167</v>
      </c>
      <c r="W1" s="34" t="s">
        <v>168</v>
      </c>
      <c r="X1" s="34" t="s">
        <v>169</v>
      </c>
      <c r="Y1" s="34" t="s">
        <v>170</v>
      </c>
      <c r="Z1" s="34" t="s">
        <v>171</v>
      </c>
    </row>
    <row r="2" spans="1:26" x14ac:dyDescent="0.25">
      <c r="A2" s="36">
        <v>46106.414525462962</v>
      </c>
      <c r="B2" s="36" t="s">
        <v>277</v>
      </c>
      <c r="C2" s="37" t="s">
        <v>180</v>
      </c>
      <c r="D2" s="38" t="s">
        <v>181</v>
      </c>
      <c r="E2" s="39">
        <f>MIN(100,VALUE(TRIM(LEFT(D2,FIND("/",D2)-1))))</f>
        <v>94</v>
      </c>
      <c r="F2" s="37" t="s">
        <v>182</v>
      </c>
      <c r="G2" s="37" t="s">
        <v>183</v>
      </c>
      <c r="H2" s="37" t="s">
        <v>184</v>
      </c>
      <c r="I2" s="37" t="s">
        <v>174</v>
      </c>
      <c r="J2" s="37" t="s">
        <v>175</v>
      </c>
      <c r="K2" s="37" t="s">
        <v>185</v>
      </c>
      <c r="L2" s="37" t="s">
        <v>186</v>
      </c>
      <c r="M2" s="37" t="s">
        <v>187</v>
      </c>
      <c r="N2" s="37" t="s">
        <v>188</v>
      </c>
      <c r="O2" s="37" t="s">
        <v>189</v>
      </c>
      <c r="P2" s="37" t="s">
        <v>178</v>
      </c>
      <c r="Q2" s="37" t="s">
        <v>179</v>
      </c>
      <c r="R2" s="37" t="s">
        <v>178</v>
      </c>
      <c r="S2" s="37" t="s">
        <v>178</v>
      </c>
      <c r="T2" s="37" t="s">
        <v>179</v>
      </c>
      <c r="U2" s="37" t="s">
        <v>178</v>
      </c>
      <c r="V2" s="37" t="s">
        <v>179</v>
      </c>
      <c r="W2" s="37" t="s">
        <v>178</v>
      </c>
      <c r="X2" s="37" t="s">
        <v>179</v>
      </c>
      <c r="Y2" s="37" t="s">
        <v>178</v>
      </c>
      <c r="Z2" s="37" t="s">
        <v>190</v>
      </c>
    </row>
    <row r="3" spans="1:26" x14ac:dyDescent="0.25">
      <c r="A3" s="40">
        <v>46106.414560185185</v>
      </c>
      <c r="B3" s="40" t="s">
        <v>278</v>
      </c>
      <c r="C3" s="41" t="s">
        <v>191</v>
      </c>
      <c r="D3" s="42" t="s">
        <v>192</v>
      </c>
      <c r="E3" s="39">
        <f t="shared" ref="E3:E28" si="0">MIN(100,VALUE(TRIM(LEFT(D3,FIND("/",D3)-1))))</f>
        <v>100</v>
      </c>
      <c r="F3" s="41" t="s">
        <v>182</v>
      </c>
      <c r="G3" s="41" t="s">
        <v>193</v>
      </c>
      <c r="H3" s="41" t="s">
        <v>184</v>
      </c>
      <c r="I3" s="41" t="s">
        <v>174</v>
      </c>
      <c r="J3" s="41" t="s">
        <v>175</v>
      </c>
      <c r="K3" s="41" t="s">
        <v>185</v>
      </c>
      <c r="L3" s="41" t="s">
        <v>186</v>
      </c>
      <c r="M3" s="41" t="s">
        <v>187</v>
      </c>
      <c r="N3" s="41" t="s">
        <v>188</v>
      </c>
      <c r="O3" s="41" t="s">
        <v>189</v>
      </c>
      <c r="P3" s="41" t="s">
        <v>178</v>
      </c>
      <c r="Q3" s="41" t="s">
        <v>179</v>
      </c>
      <c r="R3" s="41" t="s">
        <v>178</v>
      </c>
      <c r="S3" s="41" t="s">
        <v>178</v>
      </c>
      <c r="T3" s="41" t="s">
        <v>179</v>
      </c>
      <c r="U3" s="41" t="s">
        <v>179</v>
      </c>
      <c r="V3" s="41" t="s">
        <v>178</v>
      </c>
      <c r="W3" s="41" t="s">
        <v>178</v>
      </c>
      <c r="X3" s="41" t="s">
        <v>179</v>
      </c>
      <c r="Y3" s="41" t="s">
        <v>178</v>
      </c>
      <c r="Z3" s="41" t="s">
        <v>194</v>
      </c>
    </row>
    <row r="4" spans="1:26" x14ac:dyDescent="0.25">
      <c r="A4" s="36">
        <v>46106.41511574074</v>
      </c>
      <c r="B4" s="36" t="s">
        <v>279</v>
      </c>
      <c r="C4" s="37" t="s">
        <v>195</v>
      </c>
      <c r="D4" s="38" t="s">
        <v>196</v>
      </c>
      <c r="E4" s="39">
        <f t="shared" si="0"/>
        <v>100</v>
      </c>
      <c r="F4" s="37" t="s">
        <v>182</v>
      </c>
      <c r="G4" s="37" t="s">
        <v>193</v>
      </c>
      <c r="H4" s="37" t="s">
        <v>184</v>
      </c>
      <c r="I4" s="37" t="s">
        <v>174</v>
      </c>
      <c r="J4" s="37" t="s">
        <v>175</v>
      </c>
      <c r="K4" s="37" t="s">
        <v>185</v>
      </c>
      <c r="L4" s="37" t="s">
        <v>186</v>
      </c>
      <c r="M4" s="37" t="s">
        <v>187</v>
      </c>
      <c r="N4" s="37" t="s">
        <v>188</v>
      </c>
      <c r="O4" s="37" t="s">
        <v>189</v>
      </c>
      <c r="P4" s="37" t="s">
        <v>178</v>
      </c>
      <c r="Q4" s="37" t="s">
        <v>179</v>
      </c>
      <c r="R4" s="37" t="s">
        <v>178</v>
      </c>
      <c r="S4" s="37" t="s">
        <v>178</v>
      </c>
      <c r="T4" s="37" t="s">
        <v>179</v>
      </c>
      <c r="U4" s="37" t="s">
        <v>179</v>
      </c>
      <c r="V4" s="37" t="s">
        <v>178</v>
      </c>
      <c r="W4" s="37" t="s">
        <v>178</v>
      </c>
      <c r="X4" s="37" t="s">
        <v>179</v>
      </c>
      <c r="Y4" s="37" t="s">
        <v>178</v>
      </c>
      <c r="Z4" s="37" t="s">
        <v>197</v>
      </c>
    </row>
    <row r="5" spans="1:26" x14ac:dyDescent="0.25">
      <c r="A5" s="40">
        <v>46106.416435185187</v>
      </c>
      <c r="B5" s="40" t="s">
        <v>280</v>
      </c>
      <c r="C5" s="41" t="s">
        <v>198</v>
      </c>
      <c r="D5" s="42" t="s">
        <v>199</v>
      </c>
      <c r="E5" s="39">
        <f t="shared" si="0"/>
        <v>88</v>
      </c>
      <c r="F5" s="41" t="s">
        <v>182</v>
      </c>
      <c r="G5" s="41" t="s">
        <v>193</v>
      </c>
      <c r="H5" s="41" t="s">
        <v>184</v>
      </c>
      <c r="I5" s="41" t="s">
        <v>174</v>
      </c>
      <c r="J5" s="41" t="s">
        <v>200</v>
      </c>
      <c r="K5" s="41" t="s">
        <v>201</v>
      </c>
      <c r="L5" s="41" t="s">
        <v>186</v>
      </c>
      <c r="M5" s="41" t="s">
        <v>187</v>
      </c>
      <c r="N5" s="41" t="s">
        <v>188</v>
      </c>
      <c r="O5" s="41" t="s">
        <v>189</v>
      </c>
      <c r="P5" s="41" t="s">
        <v>178</v>
      </c>
      <c r="Q5" s="41" t="s">
        <v>179</v>
      </c>
      <c r="R5" s="41" t="s">
        <v>178</v>
      </c>
      <c r="S5" s="41" t="s">
        <v>178</v>
      </c>
      <c r="T5" s="41" t="s">
        <v>179</v>
      </c>
      <c r="U5" s="41" t="s">
        <v>178</v>
      </c>
      <c r="V5" s="41" t="s">
        <v>179</v>
      </c>
      <c r="W5" s="41" t="s">
        <v>178</v>
      </c>
      <c r="X5" s="41" t="s">
        <v>179</v>
      </c>
      <c r="Y5" s="41" t="s">
        <v>178</v>
      </c>
      <c r="Z5" s="41" t="s">
        <v>202</v>
      </c>
    </row>
    <row r="6" spans="1:26" x14ac:dyDescent="0.25">
      <c r="A6" s="36">
        <v>46106.416608796295</v>
      </c>
      <c r="B6" s="36" t="s">
        <v>281</v>
      </c>
      <c r="C6" s="37" t="s">
        <v>203</v>
      </c>
      <c r="D6" s="38" t="s">
        <v>204</v>
      </c>
      <c r="E6" s="39">
        <f t="shared" si="0"/>
        <v>100</v>
      </c>
      <c r="F6" s="37" t="s">
        <v>182</v>
      </c>
      <c r="G6" s="37" t="s">
        <v>193</v>
      </c>
      <c r="H6" s="37" t="s">
        <v>184</v>
      </c>
      <c r="I6" s="37" t="s">
        <v>174</v>
      </c>
      <c r="J6" s="37" t="s">
        <v>200</v>
      </c>
      <c r="K6" s="37" t="s">
        <v>185</v>
      </c>
      <c r="L6" s="37" t="s">
        <v>186</v>
      </c>
      <c r="M6" s="37" t="s">
        <v>187</v>
      </c>
      <c r="N6" s="37" t="s">
        <v>188</v>
      </c>
      <c r="O6" s="37" t="s">
        <v>189</v>
      </c>
      <c r="P6" s="37" t="s">
        <v>178</v>
      </c>
      <c r="Q6" s="37" t="s">
        <v>179</v>
      </c>
      <c r="R6" s="37" t="s">
        <v>178</v>
      </c>
      <c r="S6" s="37" t="s">
        <v>178</v>
      </c>
      <c r="T6" s="37" t="s">
        <v>179</v>
      </c>
      <c r="U6" s="37" t="s">
        <v>179</v>
      </c>
      <c r="V6" s="37" t="s">
        <v>178</v>
      </c>
      <c r="W6" s="37" t="s">
        <v>178</v>
      </c>
      <c r="X6" s="37" t="s">
        <v>179</v>
      </c>
      <c r="Y6" s="37" t="s">
        <v>178</v>
      </c>
      <c r="Z6" s="37" t="s">
        <v>205</v>
      </c>
    </row>
    <row r="7" spans="1:26" x14ac:dyDescent="0.25">
      <c r="A7" s="40">
        <v>46106.417118055557</v>
      </c>
      <c r="B7" s="40" t="s">
        <v>282</v>
      </c>
      <c r="C7" s="41" t="s">
        <v>206</v>
      </c>
      <c r="D7" s="42" t="s">
        <v>192</v>
      </c>
      <c r="E7" s="39">
        <f t="shared" si="0"/>
        <v>100</v>
      </c>
      <c r="F7" s="41" t="s">
        <v>182</v>
      </c>
      <c r="G7" s="41" t="s">
        <v>193</v>
      </c>
      <c r="H7" s="41" t="s">
        <v>184</v>
      </c>
      <c r="I7" s="41" t="s">
        <v>174</v>
      </c>
      <c r="J7" s="41" t="s">
        <v>175</v>
      </c>
      <c r="K7" s="41" t="s">
        <v>185</v>
      </c>
      <c r="L7" s="41" t="s">
        <v>186</v>
      </c>
      <c r="M7" s="41" t="s">
        <v>187</v>
      </c>
      <c r="N7" s="41" t="s">
        <v>188</v>
      </c>
      <c r="O7" s="41" t="s">
        <v>189</v>
      </c>
      <c r="P7" s="41" t="s">
        <v>178</v>
      </c>
      <c r="Q7" s="41" t="s">
        <v>179</v>
      </c>
      <c r="R7" s="41" t="s">
        <v>178</v>
      </c>
      <c r="S7" s="41" t="s">
        <v>178</v>
      </c>
      <c r="T7" s="41" t="s">
        <v>179</v>
      </c>
      <c r="U7" s="41" t="s">
        <v>179</v>
      </c>
      <c r="V7" s="41" t="s">
        <v>178</v>
      </c>
      <c r="W7" s="41" t="s">
        <v>178</v>
      </c>
      <c r="X7" s="41" t="s">
        <v>179</v>
      </c>
      <c r="Y7" s="41" t="s">
        <v>178</v>
      </c>
      <c r="Z7" s="41" t="s">
        <v>207</v>
      </c>
    </row>
    <row r="8" spans="1:26" x14ac:dyDescent="0.25">
      <c r="A8" s="36">
        <v>46106.417129629626</v>
      </c>
      <c r="B8" s="36" t="s">
        <v>283</v>
      </c>
      <c r="C8" s="37" t="s">
        <v>208</v>
      </c>
      <c r="D8" s="38" t="s">
        <v>192</v>
      </c>
      <c r="E8" s="39">
        <f t="shared" si="0"/>
        <v>100</v>
      </c>
      <c r="F8" s="37" t="s">
        <v>182</v>
      </c>
      <c r="G8" s="37" t="s">
        <v>193</v>
      </c>
      <c r="H8" s="37" t="s">
        <v>184</v>
      </c>
      <c r="I8" s="37" t="s">
        <v>174</v>
      </c>
      <c r="J8" s="37" t="s">
        <v>175</v>
      </c>
      <c r="K8" s="37" t="s">
        <v>185</v>
      </c>
      <c r="L8" s="37" t="s">
        <v>186</v>
      </c>
      <c r="M8" s="37" t="s">
        <v>187</v>
      </c>
      <c r="N8" s="37" t="s">
        <v>188</v>
      </c>
      <c r="O8" s="37" t="s">
        <v>189</v>
      </c>
      <c r="P8" s="37" t="s">
        <v>178</v>
      </c>
      <c r="Q8" s="37" t="s">
        <v>179</v>
      </c>
      <c r="R8" s="37" t="s">
        <v>178</v>
      </c>
      <c r="S8" s="37" t="s">
        <v>178</v>
      </c>
      <c r="T8" s="37" t="s">
        <v>179</v>
      </c>
      <c r="U8" s="37" t="s">
        <v>179</v>
      </c>
      <c r="V8" s="37" t="s">
        <v>178</v>
      </c>
      <c r="W8" s="37" t="s">
        <v>178</v>
      </c>
      <c r="X8" s="37" t="s">
        <v>179</v>
      </c>
      <c r="Y8" s="37" t="s">
        <v>178</v>
      </c>
      <c r="Z8" s="37" t="s">
        <v>209</v>
      </c>
    </row>
    <row r="9" spans="1:26" x14ac:dyDescent="0.25">
      <c r="A9" s="40">
        <v>46106.417349537034</v>
      </c>
      <c r="B9" s="40" t="s">
        <v>284</v>
      </c>
      <c r="C9" s="41" t="s">
        <v>210</v>
      </c>
      <c r="D9" s="42" t="s">
        <v>192</v>
      </c>
      <c r="E9" s="39">
        <f t="shared" si="0"/>
        <v>100</v>
      </c>
      <c r="F9" s="41" t="s">
        <v>182</v>
      </c>
      <c r="G9" s="41" t="s">
        <v>193</v>
      </c>
      <c r="H9" s="41" t="s">
        <v>184</v>
      </c>
      <c r="I9" s="41" t="s">
        <v>174</v>
      </c>
      <c r="J9" s="41" t="s">
        <v>175</v>
      </c>
      <c r="K9" s="41" t="s">
        <v>185</v>
      </c>
      <c r="L9" s="41" t="s">
        <v>186</v>
      </c>
      <c r="M9" s="41" t="s">
        <v>187</v>
      </c>
      <c r="N9" s="41" t="s">
        <v>188</v>
      </c>
      <c r="O9" s="41" t="s">
        <v>189</v>
      </c>
      <c r="P9" s="41" t="s">
        <v>178</v>
      </c>
      <c r="Q9" s="41" t="s">
        <v>179</v>
      </c>
      <c r="R9" s="41" t="s">
        <v>178</v>
      </c>
      <c r="S9" s="41" t="s">
        <v>178</v>
      </c>
      <c r="T9" s="41" t="s">
        <v>179</v>
      </c>
      <c r="U9" s="41" t="s">
        <v>179</v>
      </c>
      <c r="V9" s="41" t="s">
        <v>178</v>
      </c>
      <c r="W9" s="41" t="s">
        <v>178</v>
      </c>
      <c r="X9" s="41" t="s">
        <v>179</v>
      </c>
      <c r="Y9" s="41" t="s">
        <v>178</v>
      </c>
      <c r="Z9" s="41" t="s">
        <v>211</v>
      </c>
    </row>
    <row r="10" spans="1:26" x14ac:dyDescent="0.25">
      <c r="A10" s="36">
        <v>46106.418194444443</v>
      </c>
      <c r="B10" s="36" t="s">
        <v>285</v>
      </c>
      <c r="C10" s="37" t="s">
        <v>212</v>
      </c>
      <c r="D10" s="38" t="s">
        <v>213</v>
      </c>
      <c r="E10" s="39">
        <f t="shared" si="0"/>
        <v>90</v>
      </c>
      <c r="F10" s="37" t="s">
        <v>182</v>
      </c>
      <c r="G10" s="37" t="s">
        <v>193</v>
      </c>
      <c r="H10" s="37" t="s">
        <v>184</v>
      </c>
      <c r="I10" s="37" t="s">
        <v>174</v>
      </c>
      <c r="J10" s="37" t="s">
        <v>214</v>
      </c>
      <c r="K10" s="37" t="s">
        <v>215</v>
      </c>
      <c r="L10" s="37" t="s">
        <v>186</v>
      </c>
      <c r="M10" s="37" t="s">
        <v>187</v>
      </c>
      <c r="N10" s="37" t="s">
        <v>188</v>
      </c>
      <c r="O10" s="37" t="s">
        <v>189</v>
      </c>
      <c r="P10" s="37" t="s">
        <v>178</v>
      </c>
      <c r="Q10" s="37" t="s">
        <v>179</v>
      </c>
      <c r="R10" s="37" t="s">
        <v>178</v>
      </c>
      <c r="S10" s="37" t="s">
        <v>178</v>
      </c>
      <c r="T10" s="37" t="s">
        <v>178</v>
      </c>
      <c r="U10" s="37" t="s">
        <v>178</v>
      </c>
      <c r="V10" s="37" t="s">
        <v>178</v>
      </c>
      <c r="W10" s="37" t="s">
        <v>178</v>
      </c>
      <c r="X10" s="37" t="s">
        <v>179</v>
      </c>
      <c r="Y10" s="37" t="s">
        <v>178</v>
      </c>
      <c r="Z10" s="37" t="s">
        <v>216</v>
      </c>
    </row>
    <row r="11" spans="1:26" x14ac:dyDescent="0.25">
      <c r="A11" s="40">
        <v>46106.418958333335</v>
      </c>
      <c r="B11" s="40" t="s">
        <v>286</v>
      </c>
      <c r="C11" s="41" t="s">
        <v>217</v>
      </c>
      <c r="D11" s="42" t="s">
        <v>218</v>
      </c>
      <c r="E11" s="39">
        <f t="shared" si="0"/>
        <v>98</v>
      </c>
      <c r="F11" s="41" t="s">
        <v>182</v>
      </c>
      <c r="G11" s="41" t="s">
        <v>193</v>
      </c>
      <c r="H11" s="41" t="s">
        <v>184</v>
      </c>
      <c r="I11" s="41" t="s">
        <v>174</v>
      </c>
      <c r="J11" s="41" t="s">
        <v>175</v>
      </c>
      <c r="K11" s="41" t="s">
        <v>185</v>
      </c>
      <c r="L11" s="41" t="s">
        <v>219</v>
      </c>
      <c r="M11" s="41" t="s">
        <v>187</v>
      </c>
      <c r="N11" s="41" t="s">
        <v>188</v>
      </c>
      <c r="O11" s="41" t="s">
        <v>189</v>
      </c>
      <c r="P11" s="41" t="s">
        <v>178</v>
      </c>
      <c r="Q11" s="41" t="s">
        <v>179</v>
      </c>
      <c r="R11" s="41" t="s">
        <v>178</v>
      </c>
      <c r="S11" s="41" t="s">
        <v>178</v>
      </c>
      <c r="T11" s="41" t="s">
        <v>179</v>
      </c>
      <c r="U11" s="41" t="s">
        <v>178</v>
      </c>
      <c r="V11" s="41" t="s">
        <v>178</v>
      </c>
      <c r="W11" s="41" t="s">
        <v>178</v>
      </c>
      <c r="X11" s="41" t="s">
        <v>179</v>
      </c>
      <c r="Y11" s="41" t="s">
        <v>178</v>
      </c>
      <c r="Z11" s="41" t="s">
        <v>220</v>
      </c>
    </row>
    <row r="12" spans="1:26" x14ac:dyDescent="0.25">
      <c r="A12" s="36">
        <v>46106.418981481482</v>
      </c>
      <c r="B12" s="36" t="s">
        <v>287</v>
      </c>
      <c r="C12" s="37" t="s">
        <v>221</v>
      </c>
      <c r="D12" s="38" t="s">
        <v>222</v>
      </c>
      <c r="E12" s="39">
        <f t="shared" si="0"/>
        <v>64</v>
      </c>
      <c r="F12" s="37" t="s">
        <v>182</v>
      </c>
      <c r="G12" s="37" t="s">
        <v>223</v>
      </c>
      <c r="H12" s="37" t="s">
        <v>173</v>
      </c>
      <c r="I12" s="37" t="s">
        <v>224</v>
      </c>
      <c r="J12" s="37" t="s">
        <v>214</v>
      </c>
      <c r="K12" s="37" t="s">
        <v>185</v>
      </c>
      <c r="L12" s="37" t="s">
        <v>176</v>
      </c>
      <c r="M12" s="37" t="s">
        <v>187</v>
      </c>
      <c r="N12" s="37" t="s">
        <v>177</v>
      </c>
      <c r="O12" s="37" t="s">
        <v>189</v>
      </c>
      <c r="P12" s="37" t="s">
        <v>178</v>
      </c>
      <c r="Q12" s="37" t="s">
        <v>179</v>
      </c>
      <c r="R12" s="37" t="s">
        <v>179</v>
      </c>
      <c r="S12" s="37" t="s">
        <v>178</v>
      </c>
      <c r="T12" s="37" t="s">
        <v>179</v>
      </c>
      <c r="U12" s="37" t="s">
        <v>179</v>
      </c>
      <c r="V12" s="37" t="s">
        <v>179</v>
      </c>
      <c r="W12" s="37" t="s">
        <v>178</v>
      </c>
      <c r="X12" s="37" t="s">
        <v>179</v>
      </c>
      <c r="Y12" s="37" t="s">
        <v>178</v>
      </c>
      <c r="Z12" s="37" t="s">
        <v>225</v>
      </c>
    </row>
    <row r="13" spans="1:26" x14ac:dyDescent="0.25">
      <c r="A13" s="40">
        <v>46106.419062499997</v>
      </c>
      <c r="B13" s="40" t="s">
        <v>288</v>
      </c>
      <c r="C13" s="41" t="s">
        <v>226</v>
      </c>
      <c r="D13" s="42" t="s">
        <v>227</v>
      </c>
      <c r="E13" s="39">
        <f t="shared" si="0"/>
        <v>100</v>
      </c>
      <c r="F13" s="41" t="s">
        <v>182</v>
      </c>
      <c r="G13" s="41" t="s">
        <v>193</v>
      </c>
      <c r="H13" s="41" t="s">
        <v>184</v>
      </c>
      <c r="I13" s="41" t="s">
        <v>174</v>
      </c>
      <c r="J13" s="41" t="s">
        <v>175</v>
      </c>
      <c r="K13" s="41" t="s">
        <v>185</v>
      </c>
      <c r="L13" s="41" t="s">
        <v>186</v>
      </c>
      <c r="M13" s="41" t="s">
        <v>187</v>
      </c>
      <c r="N13" s="41" t="s">
        <v>188</v>
      </c>
      <c r="O13" s="41" t="s">
        <v>189</v>
      </c>
      <c r="P13" s="41" t="s">
        <v>178</v>
      </c>
      <c r="Q13" s="41" t="s">
        <v>179</v>
      </c>
      <c r="R13" s="41" t="s">
        <v>178</v>
      </c>
      <c r="S13" s="41" t="s">
        <v>178</v>
      </c>
      <c r="T13" s="41" t="s">
        <v>178</v>
      </c>
      <c r="U13" s="41" t="s">
        <v>179</v>
      </c>
      <c r="V13" s="41" t="s">
        <v>178</v>
      </c>
      <c r="W13" s="41" t="s">
        <v>178</v>
      </c>
      <c r="X13" s="41" t="s">
        <v>179</v>
      </c>
      <c r="Y13" s="41" t="s">
        <v>178</v>
      </c>
      <c r="Z13" s="41" t="s">
        <v>228</v>
      </c>
    </row>
    <row r="14" spans="1:26" x14ac:dyDescent="0.25">
      <c r="A14" s="38" t="s">
        <v>229</v>
      </c>
      <c r="B14" s="38" t="s">
        <v>289</v>
      </c>
      <c r="C14" s="37" t="s">
        <v>230</v>
      </c>
      <c r="D14" s="38" t="s">
        <v>231</v>
      </c>
      <c r="E14" s="39">
        <f t="shared" si="0"/>
        <v>54</v>
      </c>
      <c r="F14" s="37" t="s">
        <v>232</v>
      </c>
      <c r="G14" s="37" t="s">
        <v>223</v>
      </c>
      <c r="H14" s="37" t="s">
        <v>184</v>
      </c>
      <c r="I14" s="37" t="s">
        <v>224</v>
      </c>
      <c r="J14" s="37" t="s">
        <v>214</v>
      </c>
      <c r="K14" s="37" t="s">
        <v>185</v>
      </c>
      <c r="L14" s="37" t="s">
        <v>219</v>
      </c>
      <c r="M14" s="37" t="s">
        <v>233</v>
      </c>
      <c r="N14" s="37" t="s">
        <v>188</v>
      </c>
      <c r="O14" s="37" t="s">
        <v>234</v>
      </c>
      <c r="P14" s="37" t="s">
        <v>178</v>
      </c>
      <c r="Q14" s="37" t="s">
        <v>179</v>
      </c>
      <c r="R14" s="37" t="s">
        <v>178</v>
      </c>
      <c r="S14" s="37" t="s">
        <v>179</v>
      </c>
      <c r="T14" s="37" t="s">
        <v>179</v>
      </c>
      <c r="U14" s="37" t="s">
        <v>178</v>
      </c>
      <c r="V14" s="37" t="s">
        <v>179</v>
      </c>
      <c r="W14" s="37" t="s">
        <v>178</v>
      </c>
      <c r="X14" s="37" t="s">
        <v>179</v>
      </c>
      <c r="Y14" s="37" t="s">
        <v>178</v>
      </c>
      <c r="Z14" s="37" t="s">
        <v>235</v>
      </c>
    </row>
    <row r="15" spans="1:26" x14ac:dyDescent="0.25">
      <c r="A15" s="40">
        <v>46106.419988425929</v>
      </c>
      <c r="B15" s="40" t="s">
        <v>290</v>
      </c>
      <c r="C15" s="41" t="s">
        <v>236</v>
      </c>
      <c r="D15" s="42" t="s">
        <v>192</v>
      </c>
      <c r="E15" s="39">
        <f t="shared" si="0"/>
        <v>100</v>
      </c>
      <c r="F15" s="41" t="s">
        <v>182</v>
      </c>
      <c r="G15" s="41" t="s">
        <v>193</v>
      </c>
      <c r="H15" s="41" t="s">
        <v>184</v>
      </c>
      <c r="I15" s="41" t="s">
        <v>174</v>
      </c>
      <c r="J15" s="41" t="s">
        <v>175</v>
      </c>
      <c r="K15" s="41" t="s">
        <v>185</v>
      </c>
      <c r="L15" s="41" t="s">
        <v>186</v>
      </c>
      <c r="M15" s="41" t="s">
        <v>187</v>
      </c>
      <c r="N15" s="41" t="s">
        <v>188</v>
      </c>
      <c r="O15" s="41" t="s">
        <v>189</v>
      </c>
      <c r="P15" s="41" t="s">
        <v>178</v>
      </c>
      <c r="Q15" s="41" t="s">
        <v>179</v>
      </c>
      <c r="R15" s="41" t="s">
        <v>178</v>
      </c>
      <c r="S15" s="41" t="s">
        <v>178</v>
      </c>
      <c r="T15" s="41" t="s">
        <v>179</v>
      </c>
      <c r="U15" s="41" t="s">
        <v>179</v>
      </c>
      <c r="V15" s="41" t="s">
        <v>178</v>
      </c>
      <c r="W15" s="41" t="s">
        <v>178</v>
      </c>
      <c r="X15" s="41" t="s">
        <v>179</v>
      </c>
      <c r="Y15" s="41" t="s">
        <v>178</v>
      </c>
      <c r="Z15" s="41" t="s">
        <v>237</v>
      </c>
    </row>
    <row r="16" spans="1:26" x14ac:dyDescent="0.25">
      <c r="A16" s="36">
        <v>46106.420046296298</v>
      </c>
      <c r="B16" s="36" t="s">
        <v>291</v>
      </c>
      <c r="C16" s="37" t="s">
        <v>238</v>
      </c>
      <c r="D16" s="38" t="s">
        <v>239</v>
      </c>
      <c r="E16" s="39">
        <f t="shared" si="0"/>
        <v>85</v>
      </c>
      <c r="F16" s="37" t="s">
        <v>182</v>
      </c>
      <c r="G16" s="37" t="s">
        <v>223</v>
      </c>
      <c r="H16" s="37" t="s">
        <v>184</v>
      </c>
      <c r="I16" s="37" t="s">
        <v>174</v>
      </c>
      <c r="J16" s="37" t="s">
        <v>214</v>
      </c>
      <c r="K16" s="37" t="s">
        <v>185</v>
      </c>
      <c r="L16" s="37" t="s">
        <v>186</v>
      </c>
      <c r="M16" s="37" t="s">
        <v>187</v>
      </c>
      <c r="N16" s="37" t="s">
        <v>188</v>
      </c>
      <c r="O16" s="37" t="s">
        <v>189</v>
      </c>
      <c r="P16" s="37" t="s">
        <v>178</v>
      </c>
      <c r="Q16" s="37" t="s">
        <v>179</v>
      </c>
      <c r="R16" s="37" t="s">
        <v>178</v>
      </c>
      <c r="S16" s="37" t="s">
        <v>178</v>
      </c>
      <c r="T16" s="37" t="s">
        <v>178</v>
      </c>
      <c r="U16" s="37" t="s">
        <v>179</v>
      </c>
      <c r="V16" s="37" t="s">
        <v>179</v>
      </c>
      <c r="W16" s="37" t="s">
        <v>178</v>
      </c>
      <c r="X16" s="37" t="s">
        <v>178</v>
      </c>
      <c r="Y16" s="37" t="s">
        <v>178</v>
      </c>
      <c r="Z16" s="37" t="s">
        <v>240</v>
      </c>
    </row>
    <row r="17" spans="1:26" x14ac:dyDescent="0.25">
      <c r="A17" s="40">
        <v>46106.420104166667</v>
      </c>
      <c r="B17" s="40" t="s">
        <v>292</v>
      </c>
      <c r="C17" s="41" t="s">
        <v>241</v>
      </c>
      <c r="D17" s="42" t="s">
        <v>242</v>
      </c>
      <c r="E17" s="39">
        <f t="shared" si="0"/>
        <v>62</v>
      </c>
      <c r="F17" s="41" t="s">
        <v>182</v>
      </c>
      <c r="G17" s="41" t="s">
        <v>223</v>
      </c>
      <c r="H17" s="41" t="s">
        <v>184</v>
      </c>
      <c r="I17" s="41" t="s">
        <v>243</v>
      </c>
      <c r="J17" s="41" t="s">
        <v>214</v>
      </c>
      <c r="K17" s="41" t="s">
        <v>185</v>
      </c>
      <c r="L17" s="41" t="s">
        <v>219</v>
      </c>
      <c r="M17" s="41" t="s">
        <v>187</v>
      </c>
      <c r="N17" s="41" t="s">
        <v>188</v>
      </c>
      <c r="O17" s="41" t="s">
        <v>234</v>
      </c>
      <c r="P17" s="41" t="s">
        <v>178</v>
      </c>
      <c r="Q17" s="41" t="s">
        <v>179</v>
      </c>
      <c r="R17" s="41" t="s">
        <v>179</v>
      </c>
      <c r="S17" s="41" t="s">
        <v>179</v>
      </c>
      <c r="T17" s="41" t="s">
        <v>179</v>
      </c>
      <c r="U17" s="41" t="s">
        <v>179</v>
      </c>
      <c r="V17" s="41" t="s">
        <v>179</v>
      </c>
      <c r="W17" s="41" t="s">
        <v>179</v>
      </c>
      <c r="X17" s="41" t="s">
        <v>179</v>
      </c>
      <c r="Y17" s="41" t="s">
        <v>178</v>
      </c>
      <c r="Z17" s="41" t="s">
        <v>244</v>
      </c>
    </row>
    <row r="18" spans="1:26" x14ac:dyDescent="0.25">
      <c r="A18" s="36">
        <v>46106.420347222222</v>
      </c>
      <c r="B18" s="36" t="s">
        <v>293</v>
      </c>
      <c r="C18" s="37" t="s">
        <v>245</v>
      </c>
      <c r="D18" s="38" t="s">
        <v>192</v>
      </c>
      <c r="E18" s="39">
        <f t="shared" si="0"/>
        <v>100</v>
      </c>
      <c r="F18" s="37" t="s">
        <v>182</v>
      </c>
      <c r="G18" s="37" t="s">
        <v>193</v>
      </c>
      <c r="H18" s="37" t="s">
        <v>184</v>
      </c>
      <c r="I18" s="37" t="s">
        <v>174</v>
      </c>
      <c r="J18" s="37" t="s">
        <v>175</v>
      </c>
      <c r="K18" s="37" t="s">
        <v>185</v>
      </c>
      <c r="L18" s="37" t="s">
        <v>186</v>
      </c>
      <c r="M18" s="37" t="s">
        <v>187</v>
      </c>
      <c r="N18" s="37" t="s">
        <v>188</v>
      </c>
      <c r="O18" s="37" t="s">
        <v>189</v>
      </c>
      <c r="P18" s="37" t="s">
        <v>178</v>
      </c>
      <c r="Q18" s="37" t="s">
        <v>179</v>
      </c>
      <c r="R18" s="37" t="s">
        <v>178</v>
      </c>
      <c r="S18" s="37" t="s">
        <v>178</v>
      </c>
      <c r="T18" s="37" t="s">
        <v>179</v>
      </c>
      <c r="U18" s="37" t="s">
        <v>179</v>
      </c>
      <c r="V18" s="37" t="s">
        <v>178</v>
      </c>
      <c r="W18" s="37" t="s">
        <v>178</v>
      </c>
      <c r="X18" s="37" t="s">
        <v>179</v>
      </c>
      <c r="Y18" s="37" t="s">
        <v>178</v>
      </c>
      <c r="Z18" s="37" t="s">
        <v>246</v>
      </c>
    </row>
    <row r="19" spans="1:26" x14ac:dyDescent="0.25">
      <c r="A19" s="40">
        <v>46106.42046296296</v>
      </c>
      <c r="B19" s="40" t="s">
        <v>294</v>
      </c>
      <c r="C19" s="41" t="s">
        <v>247</v>
      </c>
      <c r="D19" s="42" t="s">
        <v>248</v>
      </c>
      <c r="E19" s="39">
        <f t="shared" si="0"/>
        <v>96</v>
      </c>
      <c r="F19" s="41" t="s">
        <v>182</v>
      </c>
      <c r="G19" s="41" t="s">
        <v>193</v>
      </c>
      <c r="H19" s="41" t="s">
        <v>184</v>
      </c>
      <c r="I19" s="41" t="s">
        <v>174</v>
      </c>
      <c r="J19" s="41" t="s">
        <v>175</v>
      </c>
      <c r="K19" s="41" t="s">
        <v>185</v>
      </c>
      <c r="L19" s="41" t="s">
        <v>186</v>
      </c>
      <c r="M19" s="41" t="s">
        <v>187</v>
      </c>
      <c r="N19" s="41" t="s">
        <v>188</v>
      </c>
      <c r="O19" s="41" t="s">
        <v>189</v>
      </c>
      <c r="P19" s="41" t="s">
        <v>178</v>
      </c>
      <c r="Q19" s="41" t="s">
        <v>179</v>
      </c>
      <c r="R19" s="41" t="s">
        <v>179</v>
      </c>
      <c r="S19" s="41" t="s">
        <v>179</v>
      </c>
      <c r="T19" s="41" t="s">
        <v>178</v>
      </c>
      <c r="U19" s="41" t="s">
        <v>179</v>
      </c>
      <c r="V19" s="41" t="s">
        <v>178</v>
      </c>
      <c r="W19" s="41" t="s">
        <v>178</v>
      </c>
      <c r="X19" s="41" t="s">
        <v>179</v>
      </c>
      <c r="Y19" s="41" t="s">
        <v>178</v>
      </c>
      <c r="Z19" s="41" t="s">
        <v>249</v>
      </c>
    </row>
    <row r="20" spans="1:26" x14ac:dyDescent="0.25">
      <c r="A20" s="38" t="s">
        <v>250</v>
      </c>
      <c r="B20" s="38" t="s">
        <v>295</v>
      </c>
      <c r="C20" s="37" t="s">
        <v>251</v>
      </c>
      <c r="D20" s="38" t="s">
        <v>192</v>
      </c>
      <c r="E20" s="39">
        <f t="shared" si="0"/>
        <v>100</v>
      </c>
      <c r="F20" s="37" t="s">
        <v>182</v>
      </c>
      <c r="G20" s="37" t="s">
        <v>193</v>
      </c>
      <c r="H20" s="37" t="s">
        <v>184</v>
      </c>
      <c r="I20" s="37" t="s">
        <v>174</v>
      </c>
      <c r="J20" s="37" t="s">
        <v>175</v>
      </c>
      <c r="K20" s="37" t="s">
        <v>185</v>
      </c>
      <c r="L20" s="37" t="s">
        <v>186</v>
      </c>
      <c r="M20" s="37" t="s">
        <v>187</v>
      </c>
      <c r="N20" s="37" t="s">
        <v>188</v>
      </c>
      <c r="O20" s="37" t="s">
        <v>189</v>
      </c>
      <c r="P20" s="37" t="s">
        <v>178</v>
      </c>
      <c r="Q20" s="37" t="s">
        <v>179</v>
      </c>
      <c r="R20" s="37" t="s">
        <v>178</v>
      </c>
      <c r="S20" s="37" t="s">
        <v>178</v>
      </c>
      <c r="T20" s="37" t="s">
        <v>179</v>
      </c>
      <c r="U20" s="37" t="s">
        <v>179</v>
      </c>
      <c r="V20" s="37" t="s">
        <v>178</v>
      </c>
      <c r="W20" s="37" t="s">
        <v>178</v>
      </c>
      <c r="X20" s="37" t="s">
        <v>179</v>
      </c>
      <c r="Y20" s="37" t="s">
        <v>178</v>
      </c>
      <c r="Z20" s="37" t="s">
        <v>252</v>
      </c>
    </row>
    <row r="21" spans="1:26" x14ac:dyDescent="0.25">
      <c r="A21" s="40">
        <v>46106.421365740738</v>
      </c>
      <c r="B21" s="40" t="s">
        <v>296</v>
      </c>
      <c r="C21" s="41" t="s">
        <v>253</v>
      </c>
      <c r="D21" s="42" t="s">
        <v>254</v>
      </c>
      <c r="E21" s="39">
        <f t="shared" si="0"/>
        <v>77</v>
      </c>
      <c r="F21" s="41" t="s">
        <v>182</v>
      </c>
      <c r="G21" s="41" t="s">
        <v>193</v>
      </c>
      <c r="H21" s="41" t="s">
        <v>184</v>
      </c>
      <c r="I21" s="41" t="s">
        <v>174</v>
      </c>
      <c r="J21" s="41" t="s">
        <v>214</v>
      </c>
      <c r="K21" s="41" t="s">
        <v>172</v>
      </c>
      <c r="L21" s="41" t="s">
        <v>186</v>
      </c>
      <c r="M21" s="41" t="s">
        <v>187</v>
      </c>
      <c r="N21" s="41" t="s">
        <v>188</v>
      </c>
      <c r="O21" s="41" t="s">
        <v>189</v>
      </c>
      <c r="P21" s="41" t="s">
        <v>178</v>
      </c>
      <c r="Q21" s="41" t="s">
        <v>179</v>
      </c>
      <c r="R21" s="41" t="s">
        <v>179</v>
      </c>
      <c r="S21" s="41" t="s">
        <v>178</v>
      </c>
      <c r="T21" s="41" t="s">
        <v>178</v>
      </c>
      <c r="U21" s="41" t="s">
        <v>178</v>
      </c>
      <c r="V21" s="41" t="s">
        <v>179</v>
      </c>
      <c r="W21" s="41" t="s">
        <v>178</v>
      </c>
      <c r="X21" s="41" t="s">
        <v>178</v>
      </c>
      <c r="Y21" s="41" t="s">
        <v>178</v>
      </c>
      <c r="Z21" s="41" t="s">
        <v>255</v>
      </c>
    </row>
    <row r="22" spans="1:26" x14ac:dyDescent="0.25">
      <c r="A22" s="36">
        <v>46106.422662037039</v>
      </c>
      <c r="B22" s="36" t="s">
        <v>297</v>
      </c>
      <c r="C22" s="37" t="s">
        <v>256</v>
      </c>
      <c r="D22" s="38" t="s">
        <v>257</v>
      </c>
      <c r="E22" s="39">
        <f t="shared" si="0"/>
        <v>66</v>
      </c>
      <c r="F22" s="37" t="s">
        <v>182</v>
      </c>
      <c r="G22" s="37" t="s">
        <v>193</v>
      </c>
      <c r="H22" s="37" t="s">
        <v>184</v>
      </c>
      <c r="I22" s="37" t="s">
        <v>243</v>
      </c>
      <c r="J22" s="37" t="s">
        <v>214</v>
      </c>
      <c r="K22" s="37" t="s">
        <v>172</v>
      </c>
      <c r="L22" s="37" t="s">
        <v>219</v>
      </c>
      <c r="M22" s="37" t="s">
        <v>187</v>
      </c>
      <c r="N22" s="37" t="s">
        <v>258</v>
      </c>
      <c r="O22" s="37" t="s">
        <v>189</v>
      </c>
      <c r="P22" s="37" t="s">
        <v>178</v>
      </c>
      <c r="Q22" s="37" t="s">
        <v>179</v>
      </c>
      <c r="R22" s="37" t="s">
        <v>178</v>
      </c>
      <c r="S22" s="37" t="s">
        <v>178</v>
      </c>
      <c r="T22" s="37" t="s">
        <v>179</v>
      </c>
      <c r="U22" s="37" t="s">
        <v>178</v>
      </c>
      <c r="V22" s="37" t="s">
        <v>179</v>
      </c>
      <c r="W22" s="37" t="s">
        <v>179</v>
      </c>
      <c r="X22" s="37" t="s">
        <v>179</v>
      </c>
      <c r="Y22" s="37" t="s">
        <v>178</v>
      </c>
      <c r="Z22" s="37" t="s">
        <v>259</v>
      </c>
    </row>
    <row r="23" spans="1:26" x14ac:dyDescent="0.25">
      <c r="A23" s="40">
        <v>46106.42291666667</v>
      </c>
      <c r="B23" s="40" t="s">
        <v>298</v>
      </c>
      <c r="C23" s="41" t="s">
        <v>260</v>
      </c>
      <c r="D23" s="42" t="s">
        <v>192</v>
      </c>
      <c r="E23" s="39">
        <f t="shared" si="0"/>
        <v>100</v>
      </c>
      <c r="F23" s="41" t="s">
        <v>182</v>
      </c>
      <c r="G23" s="41" t="s">
        <v>193</v>
      </c>
      <c r="H23" s="41" t="s">
        <v>184</v>
      </c>
      <c r="I23" s="41" t="s">
        <v>174</v>
      </c>
      <c r="J23" s="41" t="s">
        <v>175</v>
      </c>
      <c r="K23" s="41" t="s">
        <v>185</v>
      </c>
      <c r="L23" s="41" t="s">
        <v>186</v>
      </c>
      <c r="M23" s="41" t="s">
        <v>187</v>
      </c>
      <c r="N23" s="41" t="s">
        <v>188</v>
      </c>
      <c r="O23" s="41" t="s">
        <v>189</v>
      </c>
      <c r="P23" s="41" t="s">
        <v>178</v>
      </c>
      <c r="Q23" s="41" t="s">
        <v>179</v>
      </c>
      <c r="R23" s="41" t="s">
        <v>178</v>
      </c>
      <c r="S23" s="41" t="s">
        <v>178</v>
      </c>
      <c r="T23" s="41" t="s">
        <v>179</v>
      </c>
      <c r="U23" s="41" t="s">
        <v>179</v>
      </c>
      <c r="V23" s="41" t="s">
        <v>178</v>
      </c>
      <c r="W23" s="41" t="s">
        <v>178</v>
      </c>
      <c r="X23" s="41" t="s">
        <v>179</v>
      </c>
      <c r="Y23" s="41" t="s">
        <v>178</v>
      </c>
      <c r="Z23" s="41" t="s">
        <v>261</v>
      </c>
    </row>
    <row r="24" spans="1:26" x14ac:dyDescent="0.25">
      <c r="A24" s="36">
        <v>46106.423321759263</v>
      </c>
      <c r="B24" s="36" t="s">
        <v>299</v>
      </c>
      <c r="C24" s="37" t="s">
        <v>262</v>
      </c>
      <c r="D24" s="38" t="s">
        <v>239</v>
      </c>
      <c r="E24" s="39">
        <f t="shared" si="0"/>
        <v>85</v>
      </c>
      <c r="F24" s="37" t="s">
        <v>232</v>
      </c>
      <c r="G24" s="37" t="s">
        <v>193</v>
      </c>
      <c r="H24" s="37" t="s">
        <v>184</v>
      </c>
      <c r="I24" s="37" t="s">
        <v>174</v>
      </c>
      <c r="J24" s="37" t="s">
        <v>175</v>
      </c>
      <c r="K24" s="37" t="s">
        <v>201</v>
      </c>
      <c r="L24" s="37" t="s">
        <v>186</v>
      </c>
      <c r="M24" s="37" t="s">
        <v>187</v>
      </c>
      <c r="N24" s="37" t="s">
        <v>188</v>
      </c>
      <c r="O24" s="37" t="s">
        <v>189</v>
      </c>
      <c r="P24" s="37" t="s">
        <v>178</v>
      </c>
      <c r="Q24" s="37" t="s">
        <v>179</v>
      </c>
      <c r="R24" s="37" t="s">
        <v>178</v>
      </c>
      <c r="S24" s="37" t="s">
        <v>178</v>
      </c>
      <c r="T24" s="37" t="s">
        <v>178</v>
      </c>
      <c r="U24" s="37" t="s">
        <v>178</v>
      </c>
      <c r="V24" s="37" t="s">
        <v>178</v>
      </c>
      <c r="W24" s="37" t="s">
        <v>178</v>
      </c>
      <c r="X24" s="37" t="s">
        <v>179</v>
      </c>
      <c r="Y24" s="37" t="s">
        <v>178</v>
      </c>
      <c r="Z24" s="37" t="s">
        <v>263</v>
      </c>
    </row>
    <row r="25" spans="1:26" x14ac:dyDescent="0.25">
      <c r="A25" s="40">
        <v>46106.443576388891</v>
      </c>
      <c r="B25" s="40" t="s">
        <v>300</v>
      </c>
      <c r="C25" s="41" t="s">
        <v>264</v>
      </c>
      <c r="D25" s="42" t="s">
        <v>265</v>
      </c>
      <c r="E25" s="39">
        <f t="shared" si="0"/>
        <v>99</v>
      </c>
      <c r="F25" s="41" t="s">
        <v>182</v>
      </c>
      <c r="G25" s="41" t="s">
        <v>193</v>
      </c>
      <c r="H25" s="41" t="s">
        <v>173</v>
      </c>
      <c r="I25" s="41" t="s">
        <v>174</v>
      </c>
      <c r="J25" s="41" t="s">
        <v>175</v>
      </c>
      <c r="K25" s="41" t="s">
        <v>185</v>
      </c>
      <c r="L25" s="41" t="s">
        <v>186</v>
      </c>
      <c r="M25" s="41" t="s">
        <v>187</v>
      </c>
      <c r="N25" s="41" t="s">
        <v>188</v>
      </c>
      <c r="O25" s="41" t="s">
        <v>189</v>
      </c>
      <c r="P25" s="41" t="s">
        <v>179</v>
      </c>
      <c r="Q25" s="41" t="s">
        <v>179</v>
      </c>
      <c r="R25" s="41" t="s">
        <v>178</v>
      </c>
      <c r="S25" s="41" t="s">
        <v>178</v>
      </c>
      <c r="T25" s="41" t="s">
        <v>179</v>
      </c>
      <c r="U25" s="41" t="s">
        <v>179</v>
      </c>
      <c r="V25" s="41" t="s">
        <v>178</v>
      </c>
      <c r="W25" s="41" t="s">
        <v>178</v>
      </c>
      <c r="X25" s="41" t="s">
        <v>179</v>
      </c>
      <c r="Y25" s="41" t="s">
        <v>178</v>
      </c>
      <c r="Z25" s="41" t="s">
        <v>266</v>
      </c>
    </row>
    <row r="26" spans="1:26" x14ac:dyDescent="0.25">
      <c r="A26" s="36">
        <v>46106.445543981485</v>
      </c>
      <c r="B26" s="36" t="s">
        <v>301</v>
      </c>
      <c r="C26" s="37" t="s">
        <v>267</v>
      </c>
      <c r="D26" s="38" t="s">
        <v>248</v>
      </c>
      <c r="E26" s="39">
        <f t="shared" si="0"/>
        <v>96</v>
      </c>
      <c r="F26" s="37" t="s">
        <v>182</v>
      </c>
      <c r="G26" s="37" t="s">
        <v>223</v>
      </c>
      <c r="H26" s="37" t="s">
        <v>184</v>
      </c>
      <c r="I26" s="37" t="s">
        <v>174</v>
      </c>
      <c r="J26" s="37" t="s">
        <v>214</v>
      </c>
      <c r="K26" s="37" t="s">
        <v>185</v>
      </c>
      <c r="L26" s="37" t="s">
        <v>186</v>
      </c>
      <c r="M26" s="37" t="s">
        <v>187</v>
      </c>
      <c r="N26" s="37" t="s">
        <v>188</v>
      </c>
      <c r="O26" s="37" t="s">
        <v>189</v>
      </c>
      <c r="P26" s="37" t="s">
        <v>178</v>
      </c>
      <c r="Q26" s="37" t="s">
        <v>179</v>
      </c>
      <c r="R26" s="37" t="s">
        <v>178</v>
      </c>
      <c r="S26" s="37" t="s">
        <v>178</v>
      </c>
      <c r="T26" s="37" t="s">
        <v>179</v>
      </c>
      <c r="U26" s="37" t="s">
        <v>179</v>
      </c>
      <c r="V26" s="37" t="s">
        <v>178</v>
      </c>
      <c r="W26" s="37" t="s">
        <v>178</v>
      </c>
      <c r="X26" s="37" t="s">
        <v>179</v>
      </c>
      <c r="Y26" s="37" t="s">
        <v>178</v>
      </c>
      <c r="Z26" s="37" t="s">
        <v>268</v>
      </c>
    </row>
    <row r="27" spans="1:26" x14ac:dyDescent="0.25">
      <c r="A27" s="42" t="s">
        <v>269</v>
      </c>
      <c r="B27" s="42" t="s">
        <v>302</v>
      </c>
      <c r="C27" s="41" t="s">
        <v>270</v>
      </c>
      <c r="D27" s="42" t="s">
        <v>271</v>
      </c>
      <c r="E27" s="39">
        <f t="shared" si="0"/>
        <v>100</v>
      </c>
      <c r="F27" s="41" t="s">
        <v>182</v>
      </c>
      <c r="G27" s="41" t="s">
        <v>193</v>
      </c>
      <c r="H27" s="41" t="s">
        <v>184</v>
      </c>
      <c r="I27" s="41" t="s">
        <v>174</v>
      </c>
      <c r="J27" s="41" t="s">
        <v>175</v>
      </c>
      <c r="K27" s="41" t="s">
        <v>185</v>
      </c>
      <c r="L27" s="41" t="s">
        <v>186</v>
      </c>
      <c r="M27" s="41" t="s">
        <v>187</v>
      </c>
      <c r="N27" s="41" t="s">
        <v>188</v>
      </c>
      <c r="O27" s="41" t="s">
        <v>189</v>
      </c>
      <c r="P27" s="41" t="s">
        <v>178</v>
      </c>
      <c r="Q27" s="41" t="s">
        <v>179</v>
      </c>
      <c r="R27" s="41" t="s">
        <v>178</v>
      </c>
      <c r="S27" s="41" t="s">
        <v>178</v>
      </c>
      <c r="T27" s="41" t="s">
        <v>179</v>
      </c>
      <c r="U27" s="41" t="s">
        <v>179</v>
      </c>
      <c r="V27" s="41" t="s">
        <v>178</v>
      </c>
      <c r="W27" s="41" t="s">
        <v>178</v>
      </c>
      <c r="X27" s="41" t="s">
        <v>179</v>
      </c>
      <c r="Y27" s="41" t="s">
        <v>178</v>
      </c>
      <c r="Z27" s="41" t="s">
        <v>272</v>
      </c>
    </row>
    <row r="28" spans="1:26" x14ac:dyDescent="0.25">
      <c r="A28" s="36">
        <v>46139.668900462966</v>
      </c>
      <c r="B28" s="43" t="s">
        <v>306</v>
      </c>
      <c r="C28" s="37" t="s">
        <v>303</v>
      </c>
      <c r="D28" s="44" t="s">
        <v>304</v>
      </c>
      <c r="E28" s="39">
        <f t="shared" si="0"/>
        <v>100</v>
      </c>
      <c r="F28" s="37" t="s">
        <v>182</v>
      </c>
      <c r="G28" s="37" t="s">
        <v>193</v>
      </c>
      <c r="H28" s="37" t="s">
        <v>184</v>
      </c>
      <c r="I28" s="37" t="s">
        <v>174</v>
      </c>
      <c r="J28" s="37" t="s">
        <v>175</v>
      </c>
      <c r="K28" s="37" t="s">
        <v>185</v>
      </c>
      <c r="L28" s="37" t="s">
        <v>186</v>
      </c>
      <c r="M28" s="37" t="s">
        <v>187</v>
      </c>
      <c r="N28" s="37" t="s">
        <v>188</v>
      </c>
      <c r="O28" s="37" t="s">
        <v>189</v>
      </c>
      <c r="P28" s="37" t="s">
        <v>178</v>
      </c>
      <c r="Q28" s="37" t="s">
        <v>179</v>
      </c>
      <c r="R28" s="37" t="s">
        <v>178</v>
      </c>
      <c r="S28" s="37" t="s">
        <v>178</v>
      </c>
      <c r="T28" s="37" t="s">
        <v>179</v>
      </c>
      <c r="U28" s="37" t="s">
        <v>179</v>
      </c>
      <c r="V28" s="37" t="s">
        <v>178</v>
      </c>
      <c r="W28" s="37" t="s">
        <v>178</v>
      </c>
      <c r="X28" s="37" t="s">
        <v>178</v>
      </c>
      <c r="Y28" s="37" t="s">
        <v>178</v>
      </c>
      <c r="Z28" s="37" t="s">
        <v>305</v>
      </c>
    </row>
  </sheetData>
  <autoFilter ref="A1:Z28" xr:uid="{5B781B1C-465B-40C3-B31E-0122F766D036}">
    <sortState xmlns:xlrd2="http://schemas.microsoft.com/office/spreadsheetml/2017/richdata2" ref="A27:Z27">
      <sortCondition descending="1" ref="B1:B27"/>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Asistencia</vt:lpstr>
      <vt:lpstr>Resumen</vt:lpstr>
      <vt:lpstr>Examen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Carlos Pulido Rosas</cp:lastModifiedBy>
  <cp:revision>0</cp:revision>
  <dcterms:created xsi:type="dcterms:W3CDTF">2026-03-18T12:22:42Z</dcterms:created>
  <dcterms:modified xsi:type="dcterms:W3CDTF">2026-04-29T16:02:14Z</dcterms:modified>
  <dc:language>en-US</dc:language>
</cp:coreProperties>
</file>